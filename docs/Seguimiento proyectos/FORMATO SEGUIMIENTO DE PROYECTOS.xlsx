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DELPA\Desktop\Programas\Indelpa\"/>
    </mc:Choice>
  </mc:AlternateContent>
  <xr:revisionPtr revIDLastSave="0" documentId="13_ncr:1_{CE42D57D-CE0B-4868-925D-FF59D55AC2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  <sheet name="Región" sheetId="3" state="hidden" r:id="rId2"/>
    <sheet name="Auxiliar" sheetId="7" state="hidden" r:id="rId3"/>
    <sheet name="Empresa" sheetId="4" r:id="rId4"/>
    <sheet name="Contactos" sheetId="6" r:id="rId5"/>
    <sheet name="Listas" sheetId="2" state="hidden" r:id="rId6"/>
  </sheets>
  <definedNames>
    <definedName name="COMPRA">Listas!$F$3:$F$4</definedName>
    <definedName name="COTIZADO">Listas!$G$3:$G$4</definedName>
    <definedName name="ESTADO">Listas!$B$3:$B$10</definedName>
    <definedName name="ListaContactosDependiente">_xlfn.LET(     _xlpm.m,_xlfn.ANCHORARRAY( Auxiliar!$AA$1),     _xlpm.sel, INDIRECT("FC[-1]", 0),     _xlpm.f, IFERROR(MATCH(_xlpm.sel, INDEX(_xlpm.m,,1), 0), 0),     IF(_xlpm.f=0, Auxiliar!$Z$10,          _xlfn.LET(             _xlpm.fila, INDEX(_xlpm.m, _xlpm.f, 0),             _xlpm.inicio, INDEX(_xlpm.fila, 2),             _xlpm.fin, INDEX(_xlpm.fila, COUNTA(_xlpm.fila)),             _xlpm.inicio:_xlpm.fin         )     ) )</definedName>
    <definedName name="ListaDepartamentos">TablaDepartamentos[departamento]</definedName>
    <definedName name="ListaEmpresasDependiente">_xlfn.LET(     _xlpm.matriz,_xlfn.ANCHORARRAY( Auxiliar!$C$1),     _xlpm.tipo, INDIRECT("FC[-1]", FALSE),     _xlpm.col_n, IFERROR(MATCH(_xlpm.tipo, INDEX(_xlpm.matriz, 1, 0), 0), 0),     IF(_xlpm.col_n=0, Auxiliar!$XAA$1,         _xlfn.LET(             _xlpm.rango_col, INDEX(_xlpm.matriz, 0, _xlpm.col_n),             INDEX(_xlpm.rango_col, 2) : INDEX(_xlpm.rango_col, COUNTA(_xlpm.rango_col))         )     ) )</definedName>
    <definedName name="ListaMunicipiosDependiente">_xlfn.LET(     _xlpm.matriz,_xlfn.ANCHORARRAY( Región!$K$1),     _xlpm.dep, INDIRECT("FC[-1]", FALSE),     _xlpm.col_n, IFERROR(MATCH(_xlpm.dep, INDEX(_xlpm.matriz, 1, 0), 0), 0),     IF(_xlpm.col_n=0, Región!$WZZ$1,         _xlfn.LET(             _xlpm.rango_col, INDEX(_xlpm.matriz, 0, _xlpm.col_n),             INDEX(_xlpm.rango_col, 2) : INDEX(_xlpm.rango_col, COUNTA(_xlpm.rango_col))         )     ) )</definedName>
    <definedName name="ListaSoloElectricos">_xlfn.LET( _xlpm.matriz,_xlfn.ANCHORARRAY( Auxiliar!$C$1), _xlpm.col_n, MATCH("Contratista eléctrico", INDEX(_xlpm.matriz, 1, 0), 0), _xlpm.rango_col, INDEX(_xlpm.matriz, 0, _xlpm.col_n), INDEX(_xlpm.rango_col, 2) : INDEX(_xlpm.rango_col, COUNTA(_xlpm.rango_col)) )</definedName>
    <definedName name="TipoEmpresa">TablaTipoEmpresa[Tipo empresa]</definedName>
    <definedName name="Vendedor">TablaVendendores[Vendedor]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B/HJOfBspd96ctzDQRhhtDzpM56XT5TjAfulZpzS9s="/>
    </ext>
  </extLst>
</workbook>
</file>

<file path=xl/calcChain.xml><?xml version="1.0" encoding="utf-8"?>
<calcChain xmlns="http://schemas.openxmlformats.org/spreadsheetml/2006/main">
  <c r="AA1" i="7" l="1" a="1"/>
  <c r="AA1" i="7" s="1"/>
  <c r="P2" i="1"/>
  <c r="P3" i="1"/>
  <c r="P4" i="1"/>
  <c r="P5" i="1"/>
  <c r="P6" i="1"/>
  <c r="P7" i="1"/>
  <c r="P8" i="1"/>
  <c r="P9" i="1"/>
  <c r="P10" i="1"/>
  <c r="P11" i="1"/>
  <c r="J3" i="1"/>
  <c r="J4" i="1"/>
  <c r="J5" i="1"/>
  <c r="J6" i="1"/>
  <c r="J7" i="1"/>
  <c r="J8" i="1"/>
  <c r="J9" i="1"/>
  <c r="J10" i="1"/>
  <c r="J11" i="1"/>
  <c r="J2" i="1"/>
  <c r="A2" i="1"/>
  <c r="A3" i="1"/>
  <c r="A4" i="1"/>
  <c r="A5" i="1"/>
  <c r="A6" i="1"/>
  <c r="A7" i="1"/>
  <c r="A8" i="1"/>
  <c r="A9" i="1"/>
  <c r="A10" i="1"/>
  <c r="A11" i="1"/>
  <c r="C1" i="7" a="1"/>
  <c r="K1" i="3" a="1"/>
  <c r="K1" i="3" s="1"/>
  <c r="R3" i="2" a="1"/>
  <c r="R3" i="2" s="1"/>
  <c r="C1" i="7" l="1"/>
  <c r="H1" i="7" s="1" a="1"/>
  <c r="H1" i="7" s="1"/>
  <c r="A1" i="7" a="1"/>
  <c r="A1" i="7" s="1"/>
  <c r="J1" i="3" a="1"/>
  <c r="J1" i="3" s="1"/>
  <c r="J2" i="3" a="1"/>
  <c r="A2" i="7" a="1"/>
  <c r="Z1" i="7" a="1"/>
  <c r="Z1" i="7" l="1"/>
  <c r="J2" i="3"/>
  <c r="B1" i="7" a="1"/>
  <c r="B1" i="7" s="1"/>
  <c r="A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INDELPA</author>
  </authors>
  <commentList>
    <comment ref="A1" authorId="0" shapeId="0" xr:uid="{A20ECB17-9FDE-4A99-8207-FB5C3087A48F}">
      <text>
        <r>
          <rPr>
            <b/>
            <sz val="9"/>
            <color indexed="81"/>
            <rFont val="Tahoma"/>
            <family val="2"/>
          </rPr>
          <t>JPO:</t>
        </r>
        <r>
          <rPr>
            <sz val="9"/>
            <color indexed="81"/>
            <rFont val="Tahoma"/>
            <family val="2"/>
          </rPr>
          <t xml:space="preserve">
Formula para tener listas desplegables de empresas dependiendo el tipo, solo para una tabla específica</t>
        </r>
      </text>
    </comment>
    <comment ref="A2" authorId="0" shapeId="0" xr:uid="{E71FA899-C911-4130-890C-68D8E78CD494}">
      <text>
        <r>
          <rPr>
            <b/>
            <sz val="9"/>
            <color indexed="81"/>
            <rFont val="Tahoma"/>
            <family val="2"/>
          </rPr>
          <t>INDELPA:</t>
        </r>
        <r>
          <rPr>
            <sz val="9"/>
            <color indexed="81"/>
            <rFont val="Tahoma"/>
            <family val="2"/>
          </rPr>
          <t xml:space="preserve">
JPO:
Formula para tener listas desplegables de empresas dependiendo el tipo, Para cualquier tabla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<sst xmlns="http://schemas.openxmlformats.org/spreadsheetml/2006/main" count="1316" uniqueCount="1150">
  <si>
    <t>N°</t>
  </si>
  <si>
    <t>Obra / Proyecto</t>
  </si>
  <si>
    <t>Constructora</t>
  </si>
  <si>
    <t>Ciudad</t>
  </si>
  <si>
    <t>Dirección</t>
  </si>
  <si>
    <t>Estado</t>
  </si>
  <si>
    <t>Fecha</t>
  </si>
  <si>
    <t>¿Quién compra?</t>
  </si>
  <si>
    <t>Contratista</t>
  </si>
  <si>
    <t>Contacto contratista</t>
  </si>
  <si>
    <t>Cotizado</t>
  </si>
  <si>
    <t>Notas</t>
  </si>
  <si>
    <t>Armenia</t>
  </si>
  <si>
    <t>Estructura</t>
  </si>
  <si>
    <t>Pereira</t>
  </si>
  <si>
    <t>Descripción Fase</t>
  </si>
  <si>
    <t>¿Cotizado?</t>
  </si>
  <si>
    <t>Si</t>
  </si>
  <si>
    <t>No</t>
  </si>
  <si>
    <t>(Columnas, vigas, losas)</t>
  </si>
  <si>
    <t>Manizales</t>
  </si>
  <si>
    <t>(Muros, ventanas, acabado exterior)</t>
  </si>
  <si>
    <t>Dosquebradas</t>
  </si>
  <si>
    <t xml:space="preserve">Cerramientos y Fachada </t>
  </si>
  <si>
    <t>Santa Rosa</t>
  </si>
  <si>
    <t>1. Planeación y Diseño (3-6 meses) - Estudios, diseños, permisos</t>
  </si>
  <si>
    <t>2. Preparación del Terreno (1-2 meses) - Limpieza, cerramientos, accesos</t>
  </si>
  <si>
    <t>3. Cimentación (2-4 meses) - Excavación, zapatas, placas</t>
  </si>
  <si>
    <t>4. Estructura (4-8 meses) - Columnas, vigas, losas</t>
  </si>
  <si>
    <t>5. Cerramientos y Fachada (2-4 meses) - Muros, ventanas, acabado exterior</t>
  </si>
  <si>
    <t>6. Instalaciones Técnicas (3-6 meses) - FASE CRÍTICA PARA TABLEROS ELÉCTRICOS ⚡</t>
  </si>
  <si>
    <t>7. Acabados Interiores (3-5 meses) - Pisos, pinturas, carpintería</t>
  </si>
  <si>
    <t>8. Áreas Comunes y Urbanización (1-2 meses) - Zonas verdes, estacionamientos</t>
  </si>
  <si>
    <t>9. Equipamiento y Pruebas Finales (1-2 meses) - Ascensores, certificaciones</t>
  </si>
  <si>
    <t>10. Entrega y Postventa (Continuo) - Garantía y mantenimiento</t>
  </si>
  <si>
    <t>departamentoID</t>
  </si>
  <si>
    <t>departamento</t>
  </si>
  <si>
    <t>Puerto Claver</t>
  </si>
  <si>
    <t>Santo Domingo</t>
  </si>
  <si>
    <t>San José</t>
  </si>
  <si>
    <t>Albania</t>
  </si>
  <si>
    <t>Solita</t>
  </si>
  <si>
    <t>Barranco Minas</t>
  </si>
  <si>
    <t>Santa Bárbara</t>
  </si>
  <si>
    <t>Puerto Santander</t>
  </si>
  <si>
    <t>Florida Blanca</t>
  </si>
  <si>
    <t>Dolores</t>
  </si>
  <si>
    <t>municipioID</t>
  </si>
  <si>
    <t>municipio</t>
  </si>
  <si>
    <t>Tarapacá</t>
  </si>
  <si>
    <t>Departamento</t>
  </si>
  <si>
    <t>Bogotá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</si>
  <si>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</si>
  <si>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</si>
  <si>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</si>
  <si>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</si>
  <si>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</si>
  <si>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</si>
  <si>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</si>
  <si>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</si>
  <si>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</si>
  <si>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</si>
  <si>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</si>
  <si>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</si>
  <si>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</si>
  <si>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</si>
  <si>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</si>
  <si>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</si>
  <si>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</si>
  <si>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</si>
  <si>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</si>
  <si>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</si>
  <si>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</si>
  <si>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</si>
  <si>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</si>
  <si>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</si>
  <si>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</si>
  <si>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Archipiélago de San Andrés, Providencia y Santa Catalina</t>
  </si>
  <si>
    <t>Santander</t>
  </si>
  <si>
    <t>Sucre</t>
  </si>
  <si>
    <t>Tolima</t>
  </si>
  <si>
    <t>Valle del Cauca</t>
  </si>
  <si>
    <t>Vaupés</t>
  </si>
  <si>
    <t>Vichada</t>
  </si>
  <si>
    <t>Leticia</t>
  </si>
  <si>
    <t>El Encanto</t>
  </si>
  <si>
    <t>La Chorrera</t>
  </si>
  <si>
    <t>La Pedrera</t>
  </si>
  <si>
    <t>La Victoria</t>
  </si>
  <si>
    <t>Mirití-Paraná</t>
  </si>
  <si>
    <t>Puerto Alegría</t>
  </si>
  <si>
    <t>Puerto Arica</t>
  </si>
  <si>
    <t>Puerto Nariño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</si>
  <si>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</si>
  <si>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</si>
  <si>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</si>
  <si>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</si>
  <si>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</si>
  <si>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</si>
  <si>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</si>
  <si>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</si>
  <si>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</si>
  <si>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</si>
  <si>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Fe de Antioquia</t>
  </si>
  <si>
    <t>Anzá</t>
  </si>
  <si>
    <t>Apartadó</t>
  </si>
  <si>
    <t>Arboletes</t>
  </si>
  <si>
    <t>Argelia</t>
  </si>
  <si>
    <t>Barbosa</t>
  </si>
  <si>
    <t>Bello</t>
  </si>
  <si>
    <t>Belmira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</si>
  <si>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</si>
  <si>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</si>
  <si>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</si>
  <si>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</si>
  <si>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</si>
  <si>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</si>
  <si>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</si>
  <si>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</si>
  <si>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</si>
  <si>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</si>
  <si>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</si>
  <si>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</si>
  <si>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Carolina del Príncipe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</si>
  <si>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</si>
  <si>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</si>
  <si>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</si>
  <si>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</si>
  <si>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</si>
  <si>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</si>
  <si>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</si>
  <si>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</si>
  <si>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</si>
  <si>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</si>
  <si>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</si>
  <si>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</si>
  <si>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Peñol</t>
  </si>
  <si>
    <t>El Retiro</t>
  </si>
  <si>
    <t>El Santuario</t>
  </si>
  <si>
    <t>Entrerríos</t>
  </si>
  <si>
    <t>Envigado</t>
  </si>
  <si>
    <t>Fredonia</t>
  </si>
  <si>
    <t>Frontino</t>
  </si>
  <si>
    <t>Giraldo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</si>
  <si>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</si>
  <si>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</si>
  <si>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</si>
  <si>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</si>
  <si>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</si>
  <si>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</si>
  <si>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</si>
  <si>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</si>
  <si>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</si>
  <si>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</si>
  <si>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</si>
  <si>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</si>
  <si>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</si>
  <si>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</si>
  <si>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</si>
  <si>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</si>
  <si>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</si>
  <si>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</si>
  <si>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</si>
  <si>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</si>
  <si>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</si>
  <si>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Nechí</t>
  </si>
  <si>
    <t>Necoclí</t>
  </si>
  <si>
    <t>Olaya Herrera</t>
  </si>
  <si>
    <t>Peque</t>
  </si>
  <si>
    <t>Pueblorrico</t>
  </si>
  <si>
    <t>Puerto Berrío</t>
  </si>
  <si>
    <t>Puerto Nare</t>
  </si>
  <si>
    <t>Puerto Triunfo</t>
  </si>
  <si>
    <t>Remedios</t>
  </si>
  <si>
    <t>Rionegro</t>
  </si>
  <si>
    <t>Sabanalarga</t>
  </si>
  <si>
    <t>Sabaneta</t>
  </si>
  <si>
    <t>Salgar</t>
  </si>
  <si>
    <t>San Andrés de Cuerquia</t>
  </si>
  <si>
    <t>San Carlos</t>
  </si>
  <si>
    <t>San Francisco</t>
  </si>
  <si>
    <t>San Jerónimo</t>
  </si>
  <si>
    <t>San José de la Montaña</t>
  </si>
  <si>
    <t>San Juan de Urabá</t>
  </si>
  <si>
    <t>San Luis Obispo</t>
  </si>
  <si>
    <t>San Pedro de los Milagros</t>
  </si>
  <si>
    <t>San Pedro de Urabá</t>
  </si>
  <si>
    <t>San Rafael</t>
  </si>
  <si>
    <t>San Roque</t>
  </si>
  <si>
    <t>San Vicente Ferrer</t>
  </si>
  <si>
    <t>Santa Rosa de Osos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</si>
  <si>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</si>
  <si>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</si>
  <si>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</si>
  <si>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</si>
  <si>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</si>
  <si>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</si>
  <si>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</si>
  <si>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</si>
  <si>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</si>
  <si>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</si>
  <si>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</si>
  <si>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</si>
  <si>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</si>
  <si>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</si>
  <si>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</si>
  <si>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</si>
  <si>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</si>
  <si>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</si>
  <si>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</si>
  <si>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</si>
  <si>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</si>
  <si>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Arauquita</t>
  </si>
  <si>
    <t>Cravo Norte</t>
  </si>
  <si>
    <t>Fortul</t>
  </si>
  <si>
    <t>Puerto Rondón</t>
  </si>
  <si>
    <t>Saravena</t>
  </si>
  <si>
    <t>Tame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</si>
  <si>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</si>
  <si>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</si>
  <si>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</si>
  <si>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</si>
  <si>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</si>
  <si>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</si>
  <si>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</si>
  <si>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</si>
  <si>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</si>
  <si>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</si>
  <si>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</si>
  <si>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</si>
  <si>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</si>
  <si>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</si>
  <si>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</si>
  <si>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</si>
  <si>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</si>
  <si>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</si>
  <si>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</si>
  <si>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</si>
  <si>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</si>
  <si>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</si>
  <si>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</si>
  <si>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</si>
  <si>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</si>
  <si>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Arjona</t>
  </si>
  <si>
    <t>Arenal</t>
  </si>
  <si>
    <t>Arroyohondo</t>
  </si>
  <si>
    <t>Barranco de Loba</t>
  </si>
  <si>
    <t>Calamar</t>
  </si>
  <si>
    <t>Cantagallo</t>
  </si>
  <si>
    <t>El Carmen de Bolívar</t>
  </si>
  <si>
    <t>Cicuco</t>
  </si>
  <si>
    <t>Clemencia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</si>
  <si>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</si>
  <si>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</si>
  <si>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</si>
  <si>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</si>
  <si>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</si>
  <si>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</si>
  <si>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</si>
  <si>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Santa Cruz de Mompox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</si>
  <si>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</si>
  <si>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</si>
  <si>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</si>
  <si>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</si>
  <si>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</si>
  <si>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</si>
  <si>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</si>
  <si>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</si>
  <si>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</si>
  <si>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 del Cauca</t>
  </si>
  <si>
    <t>San Juan Nepomuceno</t>
  </si>
  <si>
    <t>San Martín de Loba</t>
  </si>
  <si>
    <t>San Pablo</t>
  </si>
  <si>
    <t>Santa Catalina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</si>
  <si>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</si>
  <si>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</si>
  <si>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</si>
  <si>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</si>
  <si>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</si>
  <si>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</si>
  <si>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</si>
  <si>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</si>
  <si>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</si>
  <si>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</si>
  <si>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</si>
  <si>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</si>
  <si>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</si>
  <si>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</si>
  <si>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</si>
  <si>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</si>
  <si>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</si>
  <si>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</si>
  <si>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</si>
  <si>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</si>
  <si>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</si>
  <si>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</si>
  <si>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</si>
  <si>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</si>
  <si>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</si>
  <si>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</si>
  <si>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</si>
  <si>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Chivor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</si>
  <si>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</si>
  <si>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</si>
  <si>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</si>
  <si>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</si>
  <si>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</si>
  <si>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</si>
  <si>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</si>
  <si>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</si>
  <si>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</si>
  <si>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</si>
  <si>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</si>
  <si>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</si>
  <si>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</si>
  <si>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</si>
  <si>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</si>
  <si>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</si>
  <si>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</si>
  <si>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</si>
  <si>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</si>
  <si>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</si>
  <si>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</si>
  <si>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</si>
  <si>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</si>
  <si>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</si>
  <si>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Labranzagrande</t>
  </si>
  <si>
    <t>Macanal</t>
  </si>
  <si>
    <t>Maní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</si>
  <si>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</si>
  <si>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</si>
  <si>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</si>
  <si>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</si>
  <si>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</si>
  <si>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</si>
  <si>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</si>
  <si>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</si>
  <si>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</si>
  <si>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</si>
  <si>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</si>
  <si>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</si>
  <si>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</si>
  <si>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</si>
  <si>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</si>
  <si>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</si>
  <si>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</si>
  <si>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</si>
  <si>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</si>
  <si>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</si>
  <si>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</si>
  <si>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</si>
  <si>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</si>
  <si>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</si>
  <si>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</si>
  <si>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Recetor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</si>
  <si>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</si>
  <si>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</si>
  <si>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</si>
  <si>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</si>
  <si>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</si>
  <si>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</si>
  <si>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</si>
  <si>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</si>
  <si>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</si>
  <si>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</si>
  <si>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</si>
  <si>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</si>
  <si>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</si>
  <si>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</si>
  <si>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</si>
  <si>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</si>
  <si>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</si>
  <si>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</si>
  <si>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</si>
  <si>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</si>
  <si>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</si>
  <si>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</si>
  <si>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</si>
  <si>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</si>
  <si>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Susacón</t>
  </si>
  <si>
    <t>Sutamarchán</t>
  </si>
  <si>
    <t>Sutatenza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</si>
  <si>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</si>
  <si>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</si>
  <si>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</si>
  <si>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</si>
  <si>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</si>
  <si>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</si>
  <si>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</si>
  <si>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</si>
  <si>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</si>
  <si>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Turmequé</t>
  </si>
  <si>
    <t>Úmbita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</si>
  <si>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</si>
  <si>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</si>
  <si>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</si>
  <si>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</si>
  <si>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</si>
  <si>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</si>
  <si>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</si>
  <si>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</si>
  <si>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</si>
  <si>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</si>
  <si>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</si>
  <si>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</si>
  <si>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</si>
  <si>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</si>
  <si>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</si>
  <si>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</si>
  <si>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</si>
  <si>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</si>
  <si>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</si>
  <si>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</si>
  <si>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</si>
  <si>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</si>
  <si>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Salamina</t>
  </si>
  <si>
    <t>Samaná</t>
  </si>
  <si>
    <t>Supía</t>
  </si>
  <si>
    <t>Villamaría</t>
  </si>
  <si>
    <t>Viterbo</t>
  </si>
  <si>
    <t>Florencia</t>
  </si>
  <si>
    <t>Belén de los Andaquíes</t>
  </si>
  <si>
    <t>Cartagena del Chairá</t>
  </si>
  <si>
    <t>Curillo</t>
  </si>
  <si>
    <t>El Doncello</t>
  </si>
  <si>
    <t>El Paujil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</si>
  <si>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</si>
  <si>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</si>
  <si>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</si>
  <si>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</si>
  <si>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</si>
  <si>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</si>
  <si>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</si>
  <si>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Yopal</t>
  </si>
  <si>
    <t>Aguazul</t>
  </si>
  <si>
    <t>Monterrey</t>
  </si>
  <si>
    <t>Nunchía</t>
  </si>
  <si>
    <t>Orocué</t>
  </si>
  <si>
    <t>Paz de Ariporo</t>
  </si>
  <si>
    <t>Pore</t>
  </si>
  <si>
    <t>Sácama</t>
  </si>
  <si>
    <t>San Luis de Palenque</t>
  </si>
  <si>
    <t>Támara</t>
  </si>
  <si>
    <t>Tauramena</t>
  </si>
  <si>
    <t>Trinidad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</si>
  <si>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</si>
  <si>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</si>
  <si>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</si>
  <si>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</si>
  <si>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</si>
  <si>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</si>
  <si>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</si>
  <si>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</si>
  <si>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</si>
  <si>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</si>
  <si>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</si>
  <si>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</si>
  <si>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</si>
  <si>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</si>
  <si>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</si>
  <si>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</si>
  <si>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</si>
  <si>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</si>
  <si>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</si>
  <si>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</si>
  <si>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</si>
  <si>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</si>
  <si>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</si>
  <si>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Puracé-Coconuco</t>
  </si>
  <si>
    <t>Rosas</t>
  </si>
  <si>
    <t>San Sebastián</t>
  </si>
  <si>
    <t>Santander de Quilichao</t>
  </si>
  <si>
    <t>Silvia</t>
  </si>
  <si>
    <t>Sotará</t>
  </si>
  <si>
    <t>Suárez</t>
  </si>
  <si>
    <t>Timbío</t>
  </si>
  <si>
    <t>Timbiquí</t>
  </si>
  <si>
    <t>Toribío</t>
  </si>
  <si>
    <t>Totoró</t>
  </si>
  <si>
    <t>Villa Rica</t>
  </si>
  <si>
    <t>Valledupar</t>
  </si>
  <si>
    <t>Aguachica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</si>
  <si>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</si>
  <si>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</si>
  <si>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</si>
  <si>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</si>
  <si>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</si>
  <si>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</si>
  <si>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</si>
  <si>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</si>
  <si>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</si>
  <si>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</si>
  <si>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</si>
  <si>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</si>
  <si>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</si>
  <si>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</si>
  <si>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</si>
  <si>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</si>
  <si>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</si>
  <si>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</si>
  <si>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</si>
  <si>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</si>
  <si>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Teorama</t>
  </si>
  <si>
    <t>Urumita</t>
  </si>
  <si>
    <t>Quibdó</t>
  </si>
  <si>
    <t>Acandí</t>
  </si>
  <si>
    <t>Alto Baudó</t>
  </si>
  <si>
    <t>El 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</si>
  <si>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</si>
  <si>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</si>
  <si>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</si>
  <si>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</si>
  <si>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</si>
  <si>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</si>
  <si>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</si>
  <si>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Cantón de San Pablo</t>
  </si>
  <si>
    <t>El Carmen de Atrato</t>
  </si>
  <si>
    <t>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</si>
  <si>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</si>
  <si>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</si>
  <si>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</si>
  <si>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</si>
  <si>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</si>
  <si>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</si>
  <si>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</si>
  <si>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</si>
  <si>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San José del Palmar</t>
  </si>
  <si>
    <t>Sipí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</si>
  <si>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</si>
  <si>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</si>
  <si>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</si>
  <si>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</si>
  <si>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</si>
  <si>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</si>
  <si>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</si>
  <si>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</si>
  <si>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</si>
  <si>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</si>
  <si>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</si>
  <si>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</si>
  <si>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Santa Cruz de 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</si>
  <si>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</si>
  <si>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</si>
  <si>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</si>
  <si>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</si>
  <si>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</si>
  <si>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</si>
  <si>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</si>
  <si>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</si>
  <si>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</si>
  <si>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</si>
  <si>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</si>
  <si>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</si>
  <si>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</si>
  <si>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</si>
  <si>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</si>
  <si>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</si>
  <si>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</si>
  <si>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</si>
  <si>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</si>
  <si>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</si>
  <si>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</si>
  <si>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</si>
  <si>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</si>
  <si>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</si>
  <si>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</si>
  <si>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</si>
  <si>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</si>
  <si>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</si>
  <si>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</si>
  <si>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</si>
  <si>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</si>
  <si>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</si>
  <si>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</si>
  <si>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</si>
  <si>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</si>
  <si>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</si>
  <si>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</si>
  <si>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</si>
  <si>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</si>
  <si>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</si>
  <si>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</si>
  <si>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</si>
  <si>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</si>
  <si>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</si>
  <si>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</si>
  <si>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</si>
  <si>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</si>
  <si>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</si>
  <si>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</si>
  <si>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</si>
  <si>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</si>
  <si>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</si>
  <si>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</si>
  <si>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</si>
  <si>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</si>
  <si>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</si>
  <si>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</si>
  <si>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</si>
  <si>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</si>
  <si>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</si>
  <si>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</si>
  <si>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</si>
  <si>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</si>
  <si>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</si>
  <si>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</si>
  <si>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</si>
  <si>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</si>
  <si>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</si>
  <si>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</si>
  <si>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</si>
  <si>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</si>
  <si>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</si>
  <si>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</si>
  <si>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</si>
  <si>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</si>
  <si>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</si>
  <si>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</si>
  <si>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</si>
  <si>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</si>
  <si>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</si>
  <si>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</si>
  <si>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</si>
  <si>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</si>
  <si>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</si>
  <si>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</si>
  <si>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</si>
  <si>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</si>
  <si>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</si>
  <si>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</si>
  <si>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</si>
  <si>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</si>
  <si>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</si>
  <si>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</si>
  <si>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</si>
  <si>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</si>
  <si>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</si>
  <si>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</si>
  <si>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</si>
  <si>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</si>
  <si>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</si>
  <si>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</si>
  <si>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</si>
  <si>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</si>
  <si>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</si>
  <si>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</si>
  <si>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</si>
  <si>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</si>
  <si>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</si>
  <si>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</si>
  <si>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</si>
  <si>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</si>
  <si>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</si>
  <si>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</si>
  <si>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</si>
  <si>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</si>
  <si>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</si>
  <si>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</si>
  <si>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</si>
  <si>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</si>
  <si>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</si>
  <si>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</si>
  <si>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</si>
  <si>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</si>
  <si>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</si>
  <si>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</si>
  <si>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</si>
  <si>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</si>
  <si>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Inírida</t>
  </si>
  <si>
    <t>Cacahual</t>
  </si>
  <si>
    <t>La Guadalupe</t>
  </si>
  <si>
    <t>Mapiripán</t>
  </si>
  <si>
    <t>Morichal Nuevo</t>
  </si>
  <si>
    <t>Pana Pana</t>
  </si>
  <si>
    <t>San Felipe</t>
  </si>
  <si>
    <t>San José del Guaviare</t>
  </si>
  <si>
    <t>El Retorno</t>
  </si>
  <si>
    <t>Neiva</t>
  </si>
  <si>
    <t>Acevedo</t>
  </si>
  <si>
    <t>Colombia</t>
  </si>
  <si>
    <t>Aipe</t>
  </si>
  <si>
    <t>Algeciras</t>
  </si>
  <si>
    <t>Altamira</t>
  </si>
  <si>
    <t>Baraya</t>
  </si>
  <si>
    <t>Campoalegre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</si>
  <si>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</si>
  <si>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</si>
  <si>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</si>
  <si>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</si>
  <si>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</si>
  <si>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</si>
  <si>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</si>
  <si>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</si>
  <si>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</si>
  <si>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</si>
  <si>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</si>
  <si>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El 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</si>
  <si>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</si>
  <si>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</si>
  <si>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</si>
  <si>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</si>
  <si>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</si>
  <si>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</si>
  <si>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</si>
  <si>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</si>
  <si>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</si>
  <si>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Timaná</t>
  </si>
  <si>
    <t>Villavieja</t>
  </si>
  <si>
    <t>Yaguará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</si>
  <si>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</si>
  <si>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</si>
  <si>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</si>
  <si>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</si>
  <si>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</si>
  <si>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</si>
  <si>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</si>
  <si>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</si>
  <si>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</si>
  <si>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</si>
  <si>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</si>
  <si>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</si>
  <si>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Santa Marta</t>
  </si>
  <si>
    <t>Algarrobo</t>
  </si>
  <si>
    <t>Aracataca</t>
  </si>
  <si>
    <t>Ariguaní</t>
  </si>
  <si>
    <t>Cerro de San Antonio</t>
  </si>
  <si>
    <t>Chibolo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</si>
  <si>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</si>
  <si>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</si>
  <si>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</si>
  <si>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</si>
  <si>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</si>
  <si>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</si>
  <si>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</si>
  <si>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</si>
  <si>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Santa Bárbara de Pinto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</si>
  <si>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</si>
  <si>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</si>
  <si>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</si>
  <si>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</si>
  <si>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</si>
  <si>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</si>
  <si>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</si>
  <si>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</si>
  <si>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Sitionuevo</t>
  </si>
  <si>
    <t>Tenerife</t>
  </si>
  <si>
    <t>Zapayán</t>
  </si>
  <si>
    <t>Zona Bananera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</si>
  <si>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</si>
  <si>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</si>
  <si>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</si>
  <si>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</si>
  <si>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</si>
  <si>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</si>
  <si>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</si>
  <si>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</si>
  <si>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</si>
  <si>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</si>
  <si>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</si>
  <si>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Mesetas</t>
  </si>
  <si>
    <t>La Macarena</t>
  </si>
  <si>
    <t>Uribe</t>
  </si>
  <si>
    <t>Lejanías</t>
  </si>
  <si>
    <t>Puerto Concordia</t>
  </si>
  <si>
    <t>Puerto Gaitán</t>
  </si>
  <si>
    <t>Puerto Lleras</t>
  </si>
  <si>
    <t>Puerto López</t>
  </si>
  <si>
    <t>Restrepo</t>
  </si>
  <si>
    <t>San Carlos de Guaroa</t>
  </si>
  <si>
    <t>San Juan de Arama</t>
  </si>
  <si>
    <t>San Juanito</t>
  </si>
  <si>
    <t>Vista Hermosa</t>
  </si>
  <si>
    <t>Pasto</t>
  </si>
  <si>
    <t>San José de Albán</t>
  </si>
  <si>
    <t>Aldana</t>
  </si>
  <si>
    <t>Ancuya</t>
  </si>
  <si>
    <t>Arboleda</t>
  </si>
  <si>
    <t>Barbacoas</t>
  </si>
  <si>
    <t>Buesaco</t>
  </si>
  <si>
    <t>Chachagüí</t>
  </si>
  <si>
    <t>Colón</t>
  </si>
  <si>
    <t>Consacá</t>
  </si>
  <si>
    <t>Contadero</t>
  </si>
  <si>
    <t>Cuaspud</t>
  </si>
  <si>
    <t>Cumbal</t>
  </si>
  <si>
    <t>Cumbitara</t>
  </si>
  <si>
    <t>El Charco</t>
  </si>
  <si>
    <t>El Rosario</t>
  </si>
  <si>
    <t>El Tablón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</si>
  <si>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</si>
  <si>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</si>
  <si>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</si>
  <si>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</si>
  <si>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</si>
  <si>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</si>
  <si>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</si>
  <si>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</si>
  <si>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</si>
  <si>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</si>
  <si>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</si>
  <si>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</si>
  <si>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</si>
  <si>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</si>
  <si>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 Payán</t>
  </si>
  <si>
    <t>Mallama</t>
  </si>
  <si>
    <t>Ospina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</si>
  <si>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</si>
  <si>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</si>
  <si>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</si>
  <si>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</si>
  <si>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</si>
  <si>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</si>
  <si>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</si>
  <si>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</si>
  <si>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</si>
  <si>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</si>
  <si>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</si>
  <si>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</si>
  <si>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</si>
  <si>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Tanguá</t>
  </si>
  <si>
    <t>Tumaco</t>
  </si>
  <si>
    <t>Túquerres</t>
  </si>
  <si>
    <t>Yacuanquer</t>
  </si>
  <si>
    <t>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</si>
  <si>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</si>
  <si>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</si>
  <si>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</si>
  <si>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</si>
  <si>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</si>
  <si>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</si>
  <si>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</si>
  <si>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</si>
  <si>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</si>
  <si>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</si>
  <si>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</si>
  <si>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</si>
  <si>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</si>
  <si>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</si>
  <si>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</si>
  <si>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</si>
  <si>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</si>
  <si>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 de Belén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</si>
  <si>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</si>
  <si>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</si>
  <si>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</si>
  <si>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</si>
  <si>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</si>
  <si>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</si>
  <si>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</si>
  <si>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</si>
  <si>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 de Las Palmas</t>
  </si>
  <si>
    <t>San Calixto</t>
  </si>
  <si>
    <t>Santiago</t>
  </si>
  <si>
    <t>Sardinata</t>
  </si>
  <si>
    <t>Santo Domingo de Silos</t>
  </si>
  <si>
    <t>Villa Caro</t>
  </si>
  <si>
    <t>Villa del Rosario</t>
  </si>
  <si>
    <t>Mocoa</t>
  </si>
  <si>
    <t>Puerto Asís</t>
  </si>
  <si>
    <t>Puerto Caicedo</t>
  </si>
  <si>
    <t>Puerto Guzmán</t>
  </si>
  <si>
    <t>Puerto Leguízamo</t>
  </si>
  <si>
    <t>Sibundoy</t>
  </si>
  <si>
    <t>Orito</t>
  </si>
  <si>
    <t>San Miguel</t>
  </si>
  <si>
    <t>Santiago de Chile</t>
  </si>
  <si>
    <t>Villagarzón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</si>
  <si>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</si>
  <si>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</si>
  <si>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</si>
  <si>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</si>
  <si>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</si>
  <si>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</si>
  <si>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</si>
  <si>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</si>
  <si>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</si>
  <si>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</si>
  <si>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</si>
  <si>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</si>
  <si>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</si>
  <si>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</si>
  <si>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</si>
  <si>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</si>
  <si>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</si>
  <si>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</si>
  <si>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</si>
  <si>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</si>
  <si>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 Andrés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</si>
  <si>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</si>
  <si>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</si>
  <si>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</si>
  <si>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</si>
  <si>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</si>
  <si>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</si>
  <si>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</si>
  <si>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</si>
  <si>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</si>
  <si>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</si>
  <si>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</si>
  <si>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</si>
  <si>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</si>
  <si>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</si>
  <si>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</si>
  <si>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</si>
  <si>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</si>
  <si>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</si>
  <si>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</si>
  <si>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</si>
  <si>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</si>
  <si>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</si>
  <si>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</si>
  <si>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</si>
  <si>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Galán</t>
  </si>
  <si>
    <t>Gámbita</t>
  </si>
  <si>
    <t>San Juan de 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</si>
  <si>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</si>
  <si>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</si>
  <si>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</si>
  <si>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</si>
  <si>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</si>
  <si>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</si>
  <si>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</si>
  <si>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</si>
  <si>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 Paz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</si>
  <si>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</si>
  <si>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</si>
  <si>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</si>
  <si>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</si>
  <si>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</si>
  <si>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</si>
  <si>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</si>
  <si>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</si>
  <si>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</si>
  <si>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</si>
  <si>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</si>
  <si>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</si>
  <si>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</si>
  <si>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</si>
  <si>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</si>
  <si>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</si>
  <si>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Puerto Parra</t>
  </si>
  <si>
    <t>Puerto Wilches</t>
  </si>
  <si>
    <t>Puente Nacional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</si>
  <si>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</si>
  <si>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</si>
  <si>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</si>
  <si>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</si>
  <si>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</si>
  <si>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</si>
  <si>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</si>
  <si>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</si>
  <si>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El Socorro</t>
  </si>
  <si>
    <t>San José de 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</si>
  <si>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</si>
  <si>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</si>
  <si>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</si>
  <si>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</si>
  <si>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</si>
  <si>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</si>
  <si>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</si>
  <si>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</si>
  <si>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</si>
  <si>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Coveñas</t>
  </si>
  <si>
    <t>Chalán</t>
  </si>
  <si>
    <t>Corozal</t>
  </si>
  <si>
    <t>El Roble</t>
  </si>
  <si>
    <t>Galeras</t>
  </si>
  <si>
    <t>Guaranda</t>
  </si>
  <si>
    <t>Los Palmitos</t>
  </si>
  <si>
    <t>Majagual</t>
  </si>
  <si>
    <t>Morroa</t>
  </si>
  <si>
    <t>Ovejas</t>
  </si>
  <si>
    <t>San Antonio de Palmito</t>
  </si>
  <si>
    <t>Sampués</t>
  </si>
  <si>
    <t>San Benito Abad</t>
  </si>
  <si>
    <t>San Juan de Betulia</t>
  </si>
  <si>
    <t>San Marcos</t>
  </si>
  <si>
    <t>San Onofre</t>
  </si>
  <si>
    <t>San Pedro</t>
  </si>
  <si>
    <t>Sincé</t>
  </si>
  <si>
    <t>Tolú</t>
  </si>
  <si>
    <t>Toluviejo</t>
  </si>
  <si>
    <t>Ibagué</t>
  </si>
  <si>
    <t>Alvarado</t>
  </si>
  <si>
    <t>Ambalema</t>
  </si>
  <si>
    <t>Estado Anzoátegui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</si>
  <si>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</si>
  <si>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</si>
  <si>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</si>
  <si>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</si>
  <si>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</si>
  <si>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</si>
  <si>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</si>
  <si>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</si>
  <si>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El 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</si>
  <si>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</si>
  <si>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</si>
  <si>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</si>
  <si>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</si>
  <si>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</si>
  <si>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</si>
  <si>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</si>
  <si>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</si>
  <si>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</si>
  <si>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</si>
  <si>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</si>
  <si>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</si>
  <si>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</si>
  <si>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</si>
  <si>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</si>
  <si>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</si>
  <si>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</si>
  <si>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</si>
  <si>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</si>
  <si>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</si>
  <si>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</si>
  <si>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</si>
  <si>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</si>
  <si>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Luis</t>
  </si>
  <si>
    <t>Santa Isabel</t>
  </si>
  <si>
    <t>Valle de San Juan</t>
  </si>
  <si>
    <t>Venadillo</t>
  </si>
  <si>
    <t>Villahermosa</t>
  </si>
  <si>
    <t>Villarrica</t>
  </si>
  <si>
    <t>Cali</t>
  </si>
  <si>
    <t>Alcalá</t>
  </si>
  <si>
    <t>Andalucía</t>
  </si>
  <si>
    <t>Ansermanuevo</t>
  </si>
  <si>
    <t>Buenaventura</t>
  </si>
  <si>
    <t>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</si>
  <si>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</si>
  <si>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</si>
  <si>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</si>
  <si>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</si>
  <si>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</si>
  <si>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</si>
  <si>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</si>
  <si>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</si>
  <si>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</si>
  <si>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</si>
  <si>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</si>
  <si>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</si>
  <si>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</si>
  <si>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</si>
  <si>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</si>
  <si>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</si>
  <si>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</si>
  <si>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</si>
  <si>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</si>
  <si>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</si>
  <si>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</si>
  <si>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Tuluá</t>
  </si>
  <si>
    <t>Ulloa</t>
  </si>
  <si>
    <t>Versalles</t>
  </si>
  <si>
    <t>Vijes</t>
  </si>
  <si>
    <t>Yotoco</t>
  </si>
  <si>
    <t>Yumbo</t>
  </si>
  <si>
    <t>Zarzal</t>
  </si>
  <si>
    <t>Mitú</t>
  </si>
  <si>
    <t>Carurú</t>
  </si>
  <si>
    <t>Papunaua</t>
  </si>
  <si>
    <t>Taraira</t>
  </si>
  <si>
    <t>Yavaraté</t>
  </si>
  <si>
    <t>Puerto Carreño</t>
  </si>
  <si>
    <t>Cumaribo</t>
  </si>
  <si>
    <t>La Primavera</t>
  </si>
  <si>
    <t>Santa Rosalía</t>
  </si>
  <si>
    <t>Vendedor</t>
  </si>
  <si>
    <t>JPO</t>
  </si>
  <si>
    <t>JNC</t>
  </si>
  <si>
    <t>BER</t>
  </si>
  <si>
    <t>EAL</t>
  </si>
  <si>
    <t>MRA</t>
  </si>
  <si>
    <t>Nombre</t>
  </si>
  <si>
    <t>Jhonier Puerta</t>
  </si>
  <si>
    <t>Julian Nieto</t>
  </si>
  <si>
    <t>Binsen Rios</t>
  </si>
  <si>
    <t>Esteban Agudelo</t>
  </si>
  <si>
    <t>Mariana Ruiz</t>
  </si>
  <si>
    <t>Telefono</t>
  </si>
  <si>
    <t>Celular</t>
  </si>
  <si>
    <t>Contratista eléctrico</t>
  </si>
  <si>
    <t>Cl. 71 #19-50</t>
  </si>
  <si>
    <t>601 7310383</t>
  </si>
  <si>
    <t>Correo</t>
  </si>
  <si>
    <t>Contacto</t>
  </si>
  <si>
    <t>Empresa</t>
  </si>
  <si>
    <t>Tipo empresa</t>
  </si>
  <si>
    <t>Industria</t>
  </si>
  <si>
    <t>Tipo de empresa</t>
  </si>
  <si>
    <t>Cargo</t>
  </si>
  <si>
    <t>Distribuidora</t>
  </si>
  <si>
    <t>Calle 24 # 4A-26</t>
  </si>
  <si>
    <t>608 2771548</t>
  </si>
  <si>
    <t>Contacto Empresa</t>
  </si>
  <si>
    <t>Cra 16a # 78-55</t>
  </si>
  <si>
    <t>Link ubicación</t>
  </si>
  <si>
    <t>Naranja</t>
  </si>
  <si>
    <t>Rojo</t>
  </si>
  <si>
    <t>Ventas sobre planos</t>
  </si>
  <si>
    <t>Director de obra</t>
  </si>
  <si>
    <t>Gris</t>
  </si>
  <si>
    <t>Blanco</t>
  </si>
  <si>
    <t>No cotizado</t>
  </si>
  <si>
    <t>Rosa</t>
  </si>
  <si>
    <t>ROJO</t>
  </si>
  <si>
    <t>GIRS</t>
  </si>
  <si>
    <t>Proyecto asignado a Indelpa o terceros</t>
  </si>
  <si>
    <t>No cotizado, en planos o preparación de Terreno</t>
  </si>
  <si>
    <t>Cotizado, en planos o preparación de Terreno</t>
  </si>
  <si>
    <t>No cotizado, en estructura o cerramientos</t>
  </si>
  <si>
    <t>Cotizado, en estructura o cerramientos</t>
  </si>
  <si>
    <t>Código de colores</t>
  </si>
  <si>
    <t>Sin seguimiento hace más de 2 meses</t>
  </si>
  <si>
    <t>OVS</t>
  </si>
  <si>
    <t>Orly Vides</t>
  </si>
  <si>
    <t>INDELPA SAS</t>
  </si>
  <si>
    <t>Carrera 16 #8-138, barrio Valher</t>
  </si>
  <si>
    <t>310 627 9267</t>
  </si>
  <si>
    <t>ventas@indelpa.com</t>
  </si>
  <si>
    <t>Ing. Jhonier Puerta Ospina</t>
  </si>
  <si>
    <t>Comercial</t>
  </si>
  <si>
    <t>320 267 6670</t>
  </si>
  <si>
    <t>jpuerta@indelpa.com</t>
  </si>
  <si>
    <t>Ing. Julian Nieto Cruz</t>
  </si>
  <si>
    <t>+57 310 6149989</t>
  </si>
  <si>
    <t>d.electrico@indelpa.com</t>
  </si>
  <si>
    <t>Obra Prueba</t>
  </si>
  <si>
    <t>Dirección de prueba</t>
  </si>
  <si>
    <t>https://maps.app.goo.gl/RVM2NKvi1Evxp8m48</t>
  </si>
  <si>
    <t>Tel. contratista (AUTO)</t>
  </si>
  <si>
    <t>Tel. contacto empresa (AUTO)</t>
  </si>
  <si>
    <t>Prueba Constructora</t>
  </si>
  <si>
    <t>Prueba Distribuidor</t>
  </si>
  <si>
    <t>111 111 11 11</t>
  </si>
  <si>
    <t>222 222 22 22</t>
  </si>
  <si>
    <t>333 333 33 33</t>
  </si>
  <si>
    <t>prueba@constructora.com</t>
  </si>
  <si>
    <t>prueba@distribuidora.com</t>
  </si>
  <si>
    <t>prueba@constructoraelectrico.com</t>
  </si>
  <si>
    <t>Prueba Eléctrico</t>
  </si>
  <si>
    <t>Contacto constructora</t>
  </si>
  <si>
    <t>director@prueba.com</t>
  </si>
  <si>
    <t>Contacto eléctrico</t>
  </si>
  <si>
    <t>Coordinado de compras</t>
  </si>
  <si>
    <t>compras@prueba.com</t>
  </si>
  <si>
    <t>Cita agendada para el 27/3/26</t>
  </si>
  <si>
    <t>Ya compraron subestación</t>
  </si>
  <si>
    <t>Preparación del Terreno y cimentación</t>
  </si>
  <si>
    <t>Marrón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</si>
</sst>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theme="1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9" fillId="0" borderId="5" xfId="0" applyFont="1" applyBorder="1"/>
    <xf numFmtId="0" fontId="9" fillId="0" borderId="1" xfId="0" applyFont="1" applyBorder="1"/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6" xfId="0" applyFont="1" applyBorder="1"/>
    <xf numFmtId="0" fontId="8" fillId="0" borderId="0" xfId="0" applyFont="1"/>
    <xf numFmtId="0" fontId="8" fillId="0" borderId="3" xfId="0" applyFont="1" applyBorder="1"/>
    <xf numFmtId="0" fontId="10" fillId="0" borderId="0" xfId="0" applyFont="1"/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2" fillId="0" borderId="0" xfId="0" applyFont="1"/>
    <xf numFmtId="0" fontId="5" fillId="0" borderId="0" xfId="0" applyFont="1"/>
    <xf numFmtId="0" fontId="13" fillId="0" borderId="4" xfId="0" applyFont="1" applyBorder="1"/>
    <xf numFmtId="0" fontId="11" fillId="0" borderId="4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4" fontId="6" fillId="0" borderId="0" xfId="0" applyNumberFormat="1" applyFont="1"/>
    <xf numFmtId="14" fontId="12" fillId="0" borderId="0" xfId="0" applyNumberFormat="1" applyFont="1"/>
    <xf numFmtId="0" fontId="4" fillId="0" borderId="0" xfId="0" applyFont="1"/>
    <xf numFmtId="0" fontId="7" fillId="0" borderId="4" xfId="0" applyFont="1" applyBorder="1" applyAlignment="1">
      <alignment horizontal="left"/>
    </xf>
    <xf numFmtId="0" fontId="15" fillId="0" borderId="0" xfId="1"/>
    <xf numFmtId="49" fontId="4" fillId="0" borderId="0" xfId="0" applyNumberFormat="1" applyFont="1"/>
    <xf numFmtId="0" fontId="4" fillId="0" borderId="8" xfId="0" applyFont="1" applyBorder="1"/>
    <xf numFmtId="0" fontId="3" fillId="0" borderId="0" xfId="0" applyFont="1"/>
    <xf numFmtId="0" fontId="2" fillId="0" borderId="0" xfId="0" applyFont="1"/>
    <xf numFmtId="0" fontId="8" fillId="0" borderId="4" xfId="0" applyFont="1" applyBorder="1" applyAlignment="1">
      <alignment horizontal="left"/>
    </xf>
    <xf numFmtId="0" fontId="0" fillId="0" borderId="9" xfId="0" applyBorder="1"/>
    <xf numFmtId="0" fontId="2" fillId="0" borderId="8" xfId="0" applyFont="1" applyBorder="1"/>
    <xf numFmtId="49" fontId="2" fillId="0" borderId="0" xfId="0" applyNumberFormat="1" applyFont="1"/>
    <xf numFmtId="0" fontId="6" fillId="0" borderId="10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/>
    <xf numFmtId="0" fontId="6" fillId="0" borderId="8" xfId="0" applyFont="1" applyBorder="1"/>
    <xf numFmtId="0" fontId="12" fillId="0" borderId="8" xfId="0" applyFont="1" applyBorder="1" applyAlignment="1">
      <alignment horizontal="left"/>
    </xf>
    <xf numFmtId="0" fontId="0" fillId="0" borderId="8" xfId="0" applyBorder="1"/>
    <xf numFmtId="0" fontId="8" fillId="0" borderId="9" xfId="0" applyFont="1" applyBorder="1" applyAlignment="1">
      <alignment horizontal="left"/>
    </xf>
    <xf numFmtId="0" fontId="8" fillId="0" borderId="11" xfId="0" applyFont="1" applyBorder="1"/>
    <xf numFmtId="0" fontId="8" fillId="0" borderId="8" xfId="0" applyFont="1" applyBorder="1" applyAlignment="1">
      <alignment horizontal="left"/>
    </xf>
    <xf numFmtId="0" fontId="9" fillId="0" borderId="12" xfId="0" applyFont="1" applyBorder="1"/>
    <xf numFmtId="0" fontId="2" fillId="4" borderId="4" xfId="0" applyFont="1" applyFill="1" applyBorder="1"/>
    <xf numFmtId="0" fontId="8" fillId="0" borderId="13" xfId="0" applyFont="1" applyBorder="1"/>
    <xf numFmtId="0" fontId="9" fillId="0" borderId="14" xfId="0" applyFont="1" applyBorder="1"/>
    <xf numFmtId="0" fontId="8" fillId="2" borderId="9" xfId="0" applyFont="1" applyFill="1" applyBorder="1" applyAlignment="1">
      <alignment horizontal="left"/>
    </xf>
    <xf numFmtId="0" fontId="2" fillId="3" borderId="9" xfId="0" applyFont="1" applyFill="1" applyBorder="1"/>
    <xf numFmtId="0" fontId="8" fillId="3" borderId="9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0" borderId="15" xfId="0" applyFont="1" applyBorder="1"/>
    <xf numFmtId="0" fontId="8" fillId="0" borderId="4" xfId="0" applyFont="1" applyBorder="1"/>
    <xf numFmtId="0" fontId="8" fillId="5" borderId="15" xfId="0" applyFont="1" applyFill="1" applyBorder="1"/>
    <xf numFmtId="0" fontId="8" fillId="4" borderId="15" xfId="0" applyFont="1" applyFill="1" applyBorder="1"/>
    <xf numFmtId="0" fontId="18" fillId="6" borderId="15" xfId="0" applyFont="1" applyFill="1" applyBorder="1"/>
    <xf numFmtId="0" fontId="8" fillId="7" borderId="15" xfId="0" applyFont="1" applyFill="1" applyBorder="1"/>
    <xf numFmtId="0" fontId="18" fillId="3" borderId="15" xfId="0" applyFont="1" applyFill="1" applyBorder="1"/>
    <xf numFmtId="0" fontId="19" fillId="8" borderId="15" xfId="0" applyFont="1" applyFill="1" applyBorder="1"/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4" xfId="0" applyBorder="1"/>
    <xf numFmtId="0" fontId="15" fillId="0" borderId="0" xfId="1" applyAlignment="1">
      <alignment horizontal="left" vertical="center"/>
    </xf>
    <xf numFmtId="0" fontId="8" fillId="4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18" fillId="9" borderId="16" xfId="0" applyFont="1" applyFill="1" applyBorder="1"/>
    <xf numFmtId="0" fontId="1" fillId="0" borderId="15" xfId="0" applyFont="1" applyBorder="1"/>
  </cellXfs>
  <cellStyles count="2">
    <cellStyle name="Hipervínculo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>
        <right style="thin">
          <color indexed="64"/>
        </right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11169-2D88-476F-83EE-6C7A36A5EAFE}" name="TablaDatos" displayName="TablaDatos" ref="A1:S11" totalsRowShown="0" headerRowDxfId="47" dataDxfId="45" headerRowBorderDxfId="46">
  <autoFilter ref="A1:S11" xr:uid="{78C11169-2D88-476F-83EE-6C7A36A5EAFE}"/>
  <tableColumns count="19">
    <tableColumn id="1" xr3:uid="{5DAA4FA1-E06C-496C-8715-93FC8B10C428}" name="N°" dataDxfId="44">
      <calculatedColumnFormula>ROW(TablaDatos[[#This Row],[N°]])-1</calculatedColumnFormula>
    </tableColumn>
    <tableColumn id="19" xr3:uid="{28C120D6-0E74-42F2-8B8D-9AC0CE6B8123}" name="Vendedor"/>
    <tableColumn id="2" xr3:uid="{4E934F32-AAFB-4140-852A-D05E2BC4EA0E}" name="Obra / Proyecto" dataDxfId="43"/>
    <tableColumn id="18" xr3:uid="{151347B8-2D67-49B5-BFF3-821919185A6F}" name="Departamento" dataDxfId="42"/>
    <tableColumn id="4" xr3:uid="{8619911C-E8C4-4A08-A38E-ED80324EA22A}" name="Ciudad" dataDxfId="41"/>
    <tableColumn id="5" xr3:uid="{DD7FB812-9084-441F-B826-124ECCEAAB69}" name="Dirección" dataDxfId="40"/>
    <tableColumn id="20" xr3:uid="{8F580E58-029D-4850-B092-0333F1901B77}" name="Tipo de empresa" dataDxfId="39"/>
    <tableColumn id="3" xr3:uid="{C99C7500-DF32-4DEC-B75A-C9E36F405A1C}" name="Empresa" dataDxfId="38"/>
    <tableColumn id="9" xr3:uid="{6A787A2A-53F0-41B5-8633-4CCFB2321907}" name="Contacto Empresa" dataDxfId="37"/>
    <tableColumn id="10" xr3:uid="{C05587A5-78DE-4146-BA2A-3AEC3D1BC2CB}" name="Tel. contacto empresa (AUTO)" dataDxfId="36">
      <calculatedColumnFormula>_xlfn.XLOOKUP(TablaDatos[[#This Row],[Contacto Empresa]],TablaContactos[Contacto],TablaContactos[Celular],"",0)</calculatedColumnFormula>
    </tableColumn>
    <tableColumn id="6" xr3:uid="{F37D3BAB-8BEC-4E6B-BF97-43053C5EFAC1}" name="Estado" dataDxfId="35"/>
    <tableColumn id="7" xr3:uid="{5AB42D85-95A0-441C-8885-9D53644A4640}" name="Fecha" dataDxfId="34"/>
    <tableColumn id="8" xr3:uid="{885810AA-B3CD-441E-AFCB-84F913C75537}" name="¿Quién compra?" dataDxfId="33"/>
    <tableColumn id="11" xr3:uid="{31772A7C-3B33-4EAD-A331-7B5310A4A4E2}" name="Contratista eléctrico" dataDxfId="32"/>
    <tableColumn id="12" xr3:uid="{C4A6C421-8B98-4DF3-84DB-ECF51F5AC787}" name="Contacto contratista" dataDxfId="31"/>
    <tableColumn id="13" xr3:uid="{5B9F89A2-4D48-4D7A-995D-DFB1D12B25BA}" name="Tel. contratista (AUTO)" dataDxfId="30">
      <calculatedColumnFormula>_xlfn.XLOOKUP(TablaDatos[[#This Row],[Contacto contratista]],TablaContactos[Contacto],TablaContactos[Celular],"",0)</calculatedColumnFormula>
    </tableColumn>
    <tableColumn id="14" xr3:uid="{B32A5E35-8759-4EF8-A71B-EF896A230E12}" name="Cotizado" dataDxfId="29"/>
    <tableColumn id="15" xr3:uid="{5C4D0E43-EC9D-444A-9AD2-B2C96B4BD38D}" name="Notas" dataDxfId="28"/>
    <tableColumn id="17" xr3:uid="{4617BAD6-8F45-4DBE-8696-A3EBC68CB1E6}" name="Link ubicación" dataDxfId="2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B49D09-B6BE-496A-8DB9-4B298FD3F721}" name="TablaDepartamentos" displayName="TablaDepartamentos" ref="B1:C34" totalsRowShown="0">
  <autoFilter ref="B1:C34" xr:uid="{5AB49D09-B6BE-496A-8DB9-4B298FD3F721}"/>
  <tableColumns count="2">
    <tableColumn id="1" xr3:uid="{63DBE640-A010-4918-B066-48483F1AD3B7}" name="departamentoID"/>
    <tableColumn id="2" xr3:uid="{AB1FAFA7-8499-422B-87AB-88A95FA356DD}" name="departame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9695D2-AD0D-4FCC-8900-A815E9E9496F}" name="TablaMunicipios" displayName="TablaMunicipios" ref="F1:H1104" totalsRowShown="0">
  <autoFilter ref="F1:H1104" xr:uid="{949695D2-AD0D-4FCC-8900-A815E9E9496F}"/>
  <tableColumns count="3">
    <tableColumn id="1" xr3:uid="{8ECBC069-4725-42DB-90A5-0FEA61AF569D}" name="municipioID"/>
    <tableColumn id="2" xr3:uid="{59C8A4EA-7556-4BC4-A347-73A440627C72}" name="municipio"/>
    <tableColumn id="3" xr3:uid="{19E1DE79-8CCF-4D01-A677-5323595521B9}" name="departamento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6653ED-A757-4F15-8137-0F6EC28B7E01}" name="TablaEmpresas" displayName="TablaEmpresas" ref="B1:J5" totalsRowShown="0" headerRowDxfId="26">
  <autoFilter ref="B1:J5" xr:uid="{8A6653ED-A757-4F15-8137-0F6EC28B7E01}"/>
  <sortState xmlns:xlrd2="http://schemas.microsoft.com/office/spreadsheetml/2017/richdata2" ref="B2:J5">
    <sortCondition ref="B1:B5"/>
  </sortState>
  <tableColumns count="9">
    <tableColumn id="1" xr3:uid="{130D782F-4903-44ED-9420-68E9C21F8176}" name="Empresa" dataDxfId="25"/>
    <tableColumn id="8" xr3:uid="{EA8629D7-2D8B-492A-8F34-BF90D7EADFA3}" name="Tipo de empresa" dataDxfId="24"/>
    <tableColumn id="2" xr3:uid="{E258FB27-D700-4747-BEBA-12036473C4DE}" name="Telefono" dataDxfId="23"/>
    <tableColumn id="3" xr3:uid="{A7731CDC-C2A4-44D1-803E-16B29881C597}" name="Celular" dataDxfId="22"/>
    <tableColumn id="7" xr3:uid="{9ABB96F7-A86E-4592-8B18-EFD7ED434FE3}" name="Correo"/>
    <tableColumn id="6" xr3:uid="{C2071014-F93C-47BB-98BF-916E63D59C7B}" name="Departamento"/>
    <tableColumn id="5" xr3:uid="{6B05A84D-BEC3-44A9-AEF7-3558C37E4D18}" name="Ciudad"/>
    <tableColumn id="4" xr3:uid="{958A89BE-1823-4F39-8B6C-6F6E839E8FB1}" name="Dirección"/>
    <tableColumn id="9" xr3:uid="{B7F0CFD9-E233-446E-8709-87CA30B92853}" name="Notas" dataDxfId="21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74F738-B885-47A6-95F7-3FACFF7BAE9D}" name="TablaContactos" displayName="TablaContactos" ref="B1:H5" totalsRowShown="0" headerRowDxfId="20">
  <autoFilter ref="B1:H5" xr:uid="{5574F738-B885-47A6-95F7-3FACFF7BAE9D}"/>
  <tableColumns count="7">
    <tableColumn id="1" xr3:uid="{384939EF-34AB-499B-B517-DEA5447C09E0}" name="Contacto" dataDxfId="19"/>
    <tableColumn id="8" xr3:uid="{49CFE78C-1466-49F0-ACB8-C46B65F5C2F1}" name="Tipo de empresa" dataDxfId="18"/>
    <tableColumn id="2" xr3:uid="{AA8B9642-FC1F-4346-B51B-BF3E14C2D03A}" name="Empresa" dataDxfId="17"/>
    <tableColumn id="9" xr3:uid="{2B336D58-EDBD-48F1-BB2B-2AB553480EA7}" name="Cargo" dataDxfId="16"/>
    <tableColumn id="3" xr3:uid="{17B9C4FF-24B5-4B10-997E-3B0AD60690D7}" name="Celular" dataDxfId="15"/>
    <tableColumn id="7" xr3:uid="{EB06F46E-0803-47F8-AFC9-385CE96DD89D}" name="Correo"/>
    <tableColumn id="10" xr3:uid="{EE54DEFB-3BB6-4622-82E2-C0B0292D603C}" name="Notas" dataDxfId="14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5F3FE3-E88E-447E-8ACD-A2A416BE2942}" name="TablaVendendores" displayName="TablaVendendores" ref="I2:J8" totalsRowShown="0" headerRowDxfId="13" dataDxfId="12">
  <autoFilter ref="I2:J8" xr:uid="{6A5F3FE3-E88E-447E-8ACD-A2A416BE2942}"/>
  <tableColumns count="2">
    <tableColumn id="1" xr3:uid="{CA16C239-E8BA-4500-9DEC-6E681A9D9B6B}" name="Vendedor" dataDxfId="11"/>
    <tableColumn id="2" xr3:uid="{AD692E9A-145E-4981-AF59-0B38C2EEE049}" name="Nombre" dataDxfId="1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E382C6-E05C-4E91-92A6-03A62336F07B}" name="TablaTipoEmpresa" displayName="TablaTipoEmpresa" ref="L2:L6" totalsRowShown="0" headerRowDxfId="9" dataDxfId="8">
  <autoFilter ref="L2:L6" xr:uid="{9CE382C6-E05C-4E91-92A6-03A62336F07B}"/>
  <tableColumns count="1">
    <tableColumn id="1" xr3:uid="{C7820B76-9541-4124-A32E-27861B652E32}" name="Tipo empresa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aps.app.goo.gl/RVM2NKvi1Evxp8m4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rueba@constructora.com" TargetMode="External"/><Relationship Id="rId2" Type="http://schemas.openxmlformats.org/officeDocument/2006/relationships/hyperlink" Target="mailto:prueba@constructora.com" TargetMode="External"/><Relationship Id="rId1" Type="http://schemas.openxmlformats.org/officeDocument/2006/relationships/hyperlink" Target="mailto:ventas@indelpa.com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prueba@constructoraelectrico.com" TargetMode="External"/><Relationship Id="rId4" Type="http://schemas.openxmlformats.org/officeDocument/2006/relationships/hyperlink" Target="mailto:prueba@distribuidora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d.electrico@indelpa.com" TargetMode="External"/><Relationship Id="rId2" Type="http://schemas.openxmlformats.org/officeDocument/2006/relationships/hyperlink" Target="mailto:jpuerta@indelpa.com" TargetMode="External"/><Relationship Id="rId1" Type="http://schemas.openxmlformats.org/officeDocument/2006/relationships/hyperlink" Target="mailto:director@prueba.com" TargetMode="External"/><Relationship Id="rId5" Type="http://schemas.openxmlformats.org/officeDocument/2006/relationships/table" Target="../tables/table5.xml"/><Relationship Id="rId4" Type="http://schemas.openxmlformats.org/officeDocument/2006/relationships/hyperlink" Target="mailto:compras@prueba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90"/>
  <sheetViews>
    <sheetView showGridLines="0" tabSelected="1" zoomScaleNormal="100" workbookViewId="0">
      <pane xSplit="3" ySplit="1" topLeftCell="G2" activePane="bottomRight" state="frozen"/>
      <selection pane="topRight" activeCell="C1" sqref="C1"/>
      <selection pane="bottomLeft" activeCell="A4" sqref="A4"/>
      <selection pane="bottomRight" activeCell="B2" sqref="B2"/>
    </sheetView>
  </sheetViews>
  <sheetFormatPr baseColWidth="10" defaultColWidth="14.42578125" defaultRowHeight="15" customHeight="1" x14ac:dyDescent="0.25"/>
  <cols>
    <col min="1" max="1" width="5.28515625" bestFit="1" customWidth="1"/>
    <col min="2" max="2" width="12.140625" bestFit="1" customWidth="1"/>
    <col min="3" max="3" width="29.140625" bestFit="1" customWidth="1"/>
    <col min="4" max="4" width="16.140625" bestFit="1" customWidth="1"/>
    <col min="5" max="5" width="11.140625" bestFit="1" customWidth="1"/>
    <col min="6" max="6" width="36" customWidth="1"/>
    <col min="7" max="7" width="18.7109375" bestFit="1" customWidth="1"/>
    <col min="8" max="8" width="17.7109375" customWidth="1"/>
    <col min="9" max="9" width="19.85546875" bestFit="1" customWidth="1"/>
    <col min="10" max="10" width="28.140625" customWidth="1"/>
    <col min="11" max="11" width="33.28515625" bestFit="1" customWidth="1"/>
    <col min="13" max="13" width="18.5703125" bestFit="1" customWidth="1"/>
    <col min="14" max="14" width="21.5703125" bestFit="1" customWidth="1"/>
    <col min="15" max="15" width="21.42578125" bestFit="1" customWidth="1"/>
    <col min="16" max="16" width="23.5703125" customWidth="1"/>
    <col min="17" max="17" width="11.28515625" bestFit="1" customWidth="1"/>
    <col min="18" max="18" width="29.7109375" customWidth="1"/>
    <col min="19" max="19" width="43.28515625" bestFit="1" customWidth="1"/>
    <col min="20" max="20" width="18.85546875" customWidth="1"/>
    <col min="21" max="21" width="14.28515625" customWidth="1"/>
    <col min="22" max="22" width="43.42578125" customWidth="1"/>
    <col min="23" max="23" width="31.42578125" customWidth="1"/>
    <col min="24" max="24" width="20.7109375" customWidth="1"/>
    <col min="25" max="25" width="10.85546875" customWidth="1"/>
    <col min="26" max="26" width="20.42578125" bestFit="1" customWidth="1"/>
    <col min="27" max="33" width="10.85546875" customWidth="1"/>
  </cols>
  <sheetData>
    <row r="1" spans="1:33" ht="12.75" customHeight="1" x14ac:dyDescent="0.25">
      <c r="A1" s="14" t="s">
        <v>0</v>
      </c>
      <c r="B1" s="20" t="s">
        <v>1067</v>
      </c>
      <c r="C1" s="14" t="s">
        <v>1</v>
      </c>
      <c r="D1" s="14" t="s">
        <v>50</v>
      </c>
      <c r="E1" s="14" t="s">
        <v>3</v>
      </c>
      <c r="F1" s="14" t="s">
        <v>4</v>
      </c>
      <c r="G1" s="14" t="s">
        <v>1089</v>
      </c>
      <c r="H1" s="14" t="s">
        <v>1086</v>
      </c>
      <c r="I1" s="14" t="s">
        <v>1094</v>
      </c>
      <c r="J1" s="14" t="s">
        <v>1131</v>
      </c>
      <c r="K1" s="14" t="s">
        <v>5</v>
      </c>
      <c r="L1" s="14" t="s">
        <v>6</v>
      </c>
      <c r="M1" s="14" t="s">
        <v>7</v>
      </c>
      <c r="N1" s="14" t="s">
        <v>1081</v>
      </c>
      <c r="O1" s="14" t="s">
        <v>9</v>
      </c>
      <c r="P1" s="14" t="s">
        <v>1130</v>
      </c>
      <c r="Q1" s="14" t="s">
        <v>10</v>
      </c>
      <c r="R1" s="14" t="s">
        <v>11</v>
      </c>
      <c r="S1" s="15" t="s">
        <v>1096</v>
      </c>
      <c r="T1" s="2"/>
      <c r="U1" s="2"/>
      <c r="V1" s="2"/>
      <c r="W1" s="2"/>
      <c r="X1" s="2"/>
      <c r="Y1" s="2"/>
      <c r="Z1" s="2"/>
      <c r="AA1" s="2"/>
      <c r="AB1" s="2"/>
    </row>
    <row r="2" spans="1:33" ht="12.75" customHeight="1" x14ac:dyDescent="0.25">
      <c r="A2" s="1">
        <f>ROW(TablaDatos[[#This Row],[N°]])-1</f>
        <v>1</v>
      </c>
      <c r="B2" s="1" t="s">
        <v>1068</v>
      </c>
      <c r="C2" s="39" t="s">
        <v>1127</v>
      </c>
      <c r="D2" s="1" t="s">
        <v>51</v>
      </c>
      <c r="E2" s="1" t="s">
        <v>51</v>
      </c>
      <c r="F2" s="2" t="s">
        <v>1128</v>
      </c>
      <c r="G2" s="39" t="s">
        <v>2</v>
      </c>
      <c r="H2" s="1" t="s">
        <v>1132</v>
      </c>
      <c r="I2" s="2" t="s">
        <v>1141</v>
      </c>
      <c r="J2" s="1" t="str">
        <f>_xlfn.XLOOKUP(TablaDatos[[#This Row],[Contacto Empresa]],TablaContactos[Contacto],TablaContactos[Celular],"",0)</f>
        <v>111 111 11 11</v>
      </c>
      <c r="K2" s="34" t="s">
        <v>13</v>
      </c>
      <c r="L2" s="21"/>
      <c r="M2" s="1" t="s">
        <v>8</v>
      </c>
      <c r="N2" s="34" t="s">
        <v>1140</v>
      </c>
      <c r="O2" s="2" t="s">
        <v>1143</v>
      </c>
      <c r="P2" s="3" t="str">
        <f>_xlfn.XLOOKUP(TablaDatos[[#This Row],[Contacto contratista]],TablaContactos[Contacto],TablaContactos[Celular],"",0)</f>
        <v>222 222 22 22</v>
      </c>
      <c r="Q2" s="36" t="s">
        <v>17</v>
      </c>
      <c r="R2" s="62"/>
      <c r="S2" s="65" t="s">
        <v>1129</v>
      </c>
      <c r="T2" s="1"/>
      <c r="U2" s="1"/>
      <c r="V2" s="1"/>
      <c r="W2" s="1"/>
      <c r="X2" s="1"/>
      <c r="Y2" s="1"/>
      <c r="Z2" s="1"/>
      <c r="AA2" s="1"/>
      <c r="AB2" s="1"/>
    </row>
    <row r="3" spans="1:33" ht="12.75" customHeight="1" x14ac:dyDescent="0.25">
      <c r="A3" s="16">
        <f>ROW(TablaDatos[[#This Row],[N°]])-1</f>
        <v>2</v>
      </c>
      <c r="B3" s="1"/>
      <c r="C3" s="40"/>
      <c r="D3" s="1"/>
      <c r="E3" s="1"/>
      <c r="F3" s="2"/>
      <c r="G3" s="40"/>
      <c r="H3" s="1"/>
      <c r="I3" s="2"/>
      <c r="J3" s="1" t="str">
        <f>_xlfn.XLOOKUP(TablaDatos[[#This Row],[Contacto Empresa]],TablaContactos[Contacto],TablaContactos[Celular],"",0)</f>
        <v/>
      </c>
      <c r="K3" s="41"/>
      <c r="L3" s="22"/>
      <c r="M3" s="16"/>
      <c r="N3" s="35"/>
      <c r="O3" s="2"/>
      <c r="P3" s="3" t="str">
        <f>_xlfn.XLOOKUP(TablaDatos[[#This Row],[Contacto contratista]],TablaContactos[Contacto],TablaContactos[Celular],"",0)</f>
        <v/>
      </c>
      <c r="Q3" s="37"/>
      <c r="R3" s="63"/>
      <c r="S3" s="63"/>
      <c r="T3" s="1"/>
      <c r="U3" s="1"/>
      <c r="V3" s="1"/>
      <c r="W3" s="1"/>
      <c r="X3" s="1"/>
      <c r="Y3" s="1"/>
      <c r="Z3" s="1"/>
      <c r="AA3" s="1"/>
      <c r="AB3" s="1"/>
    </row>
    <row r="4" spans="1:33" ht="12.75" customHeight="1" x14ac:dyDescent="0.25">
      <c r="A4" s="1">
        <f>ROW(TablaDatos[[#This Row],[N°]])-1</f>
        <v>3</v>
      </c>
      <c r="B4" s="1"/>
      <c r="C4" s="40"/>
      <c r="D4" s="1"/>
      <c r="E4" s="1"/>
      <c r="F4" s="2"/>
      <c r="G4" s="40"/>
      <c r="H4" s="1"/>
      <c r="I4" s="2"/>
      <c r="J4" s="1" t="str">
        <f>_xlfn.XLOOKUP(TablaDatos[[#This Row],[Contacto Empresa]],TablaContactos[Contacto],TablaContactos[Celular],"",0)</f>
        <v/>
      </c>
      <c r="K4" s="35"/>
      <c r="L4" s="21"/>
      <c r="M4" s="1"/>
      <c r="N4" s="35"/>
      <c r="O4" s="2"/>
      <c r="P4" s="3" t="str">
        <f>_xlfn.XLOOKUP(TablaDatos[[#This Row],[Contacto contratista]],TablaContactos[Contacto],TablaContactos[Celular],"",0)</f>
        <v/>
      </c>
      <c r="Q4" s="38"/>
      <c r="R4" s="62"/>
      <c r="S4" s="62"/>
      <c r="T4" s="1"/>
      <c r="U4" s="1"/>
      <c r="V4" s="1"/>
      <c r="W4" s="1"/>
      <c r="X4" s="1"/>
      <c r="Y4" s="1"/>
      <c r="Z4" s="1"/>
      <c r="AA4" s="1"/>
      <c r="AB4" s="1"/>
    </row>
    <row r="5" spans="1:33" ht="12.75" customHeight="1" x14ac:dyDescent="0.25">
      <c r="A5" s="16">
        <f>ROW(TablaDatos[[#This Row],[N°]])-1</f>
        <v>4</v>
      </c>
      <c r="B5" s="1"/>
      <c r="C5" s="40"/>
      <c r="D5" s="1"/>
      <c r="E5" s="1"/>
      <c r="F5" s="2"/>
      <c r="G5" s="40"/>
      <c r="H5" s="1"/>
      <c r="I5" s="2"/>
      <c r="J5" s="1" t="str">
        <f>_xlfn.XLOOKUP(TablaDatos[[#This Row],[Contacto Empresa]],TablaContactos[Contacto],TablaContactos[Celular],"",0)</f>
        <v/>
      </c>
      <c r="K5" s="35"/>
      <c r="L5" s="21"/>
      <c r="M5" s="1"/>
      <c r="N5" s="35"/>
      <c r="O5" s="2"/>
      <c r="P5" s="3" t="str">
        <f>_xlfn.XLOOKUP(TablaDatos[[#This Row],[Contacto contratista]],TablaContactos[Contacto],TablaContactos[Celular],"",0)</f>
        <v/>
      </c>
      <c r="Q5" s="38"/>
      <c r="R5" s="62"/>
      <c r="S5" s="62"/>
      <c r="T5" s="1"/>
      <c r="U5" s="1"/>
      <c r="V5" s="1"/>
      <c r="W5" s="1"/>
      <c r="X5" s="1"/>
      <c r="Y5" s="1"/>
      <c r="Z5" s="1"/>
      <c r="AA5" s="1"/>
      <c r="AB5" s="1"/>
    </row>
    <row r="6" spans="1:33" ht="12.75" customHeight="1" x14ac:dyDescent="0.25">
      <c r="A6" s="1">
        <f>ROW(TablaDatos[[#This Row],[N°]])-1</f>
        <v>5</v>
      </c>
      <c r="B6" s="1"/>
      <c r="C6" s="40"/>
      <c r="D6" s="1"/>
      <c r="E6" s="1"/>
      <c r="F6" s="2"/>
      <c r="G6" s="40"/>
      <c r="H6" s="1"/>
      <c r="I6" s="2"/>
      <c r="J6" s="1" t="str">
        <f>_xlfn.XLOOKUP(TablaDatos[[#This Row],[Contacto Empresa]],TablaContactos[Contacto],TablaContactos[Celular],"",0)</f>
        <v/>
      </c>
      <c r="K6" s="35"/>
      <c r="L6" s="21"/>
      <c r="M6" s="1"/>
      <c r="N6" s="35"/>
      <c r="O6" s="2"/>
      <c r="P6" s="3" t="str">
        <f>_xlfn.XLOOKUP(TablaDatos[[#This Row],[Contacto contratista]],TablaContactos[Contacto],TablaContactos[Celular],"",0)</f>
        <v/>
      </c>
      <c r="Q6" s="38"/>
      <c r="R6" s="62"/>
      <c r="S6" s="62"/>
      <c r="T6" s="1"/>
      <c r="U6" s="1"/>
      <c r="V6" s="1"/>
      <c r="W6" s="1"/>
      <c r="X6" s="1"/>
      <c r="Y6" s="1"/>
      <c r="Z6" s="1"/>
      <c r="AA6" s="1"/>
      <c r="AB6" s="1"/>
    </row>
    <row r="7" spans="1:33" ht="12.75" customHeight="1" x14ac:dyDescent="0.25">
      <c r="A7" s="1">
        <f>ROW(TablaDatos[[#This Row],[N°]])-1</f>
        <v>6</v>
      </c>
      <c r="B7" s="1"/>
      <c r="C7" s="40"/>
      <c r="D7" s="1"/>
      <c r="E7" s="1"/>
      <c r="F7" s="2"/>
      <c r="G7" s="40"/>
      <c r="H7" s="1"/>
      <c r="I7" s="2"/>
      <c r="J7" s="1" t="str">
        <f>_xlfn.XLOOKUP(TablaDatos[[#This Row],[Contacto Empresa]],TablaContactos[Contacto],TablaContactos[Celular],"",0)</f>
        <v/>
      </c>
      <c r="K7" s="35"/>
      <c r="L7" s="21"/>
      <c r="M7" s="1"/>
      <c r="N7" s="35"/>
      <c r="O7" s="2"/>
      <c r="P7" s="3" t="str">
        <f>_xlfn.XLOOKUP(TablaDatos[[#This Row],[Contacto contratista]],TablaContactos[Contacto],TablaContactos[Celular],"",0)</f>
        <v/>
      </c>
      <c r="Q7" s="38"/>
      <c r="R7" s="62"/>
      <c r="S7" s="62"/>
      <c r="T7" s="1"/>
      <c r="U7" s="1"/>
      <c r="V7" s="1"/>
      <c r="W7" s="1"/>
      <c r="X7" s="1"/>
      <c r="Y7" s="1"/>
      <c r="Z7" s="1"/>
      <c r="AA7" s="1"/>
      <c r="AB7" s="1"/>
    </row>
    <row r="8" spans="1:33" ht="12.75" customHeight="1" x14ac:dyDescent="0.25">
      <c r="A8" s="1">
        <f>ROW(TablaDatos[[#This Row],[N°]])-1</f>
        <v>7</v>
      </c>
      <c r="B8" s="1"/>
      <c r="C8" s="40"/>
      <c r="D8" s="1"/>
      <c r="E8" s="1"/>
      <c r="F8" s="2"/>
      <c r="G8" s="40"/>
      <c r="H8" s="1"/>
      <c r="I8" s="2"/>
      <c r="J8" s="1" t="str">
        <f>_xlfn.XLOOKUP(TablaDatos[[#This Row],[Contacto Empresa]],TablaContactos[Contacto],TablaContactos[Celular],"",0)</f>
        <v/>
      </c>
      <c r="K8" s="35"/>
      <c r="L8" s="21"/>
      <c r="M8" s="1"/>
      <c r="N8" s="35"/>
      <c r="O8" s="1"/>
      <c r="P8" s="3" t="str">
        <f>_xlfn.XLOOKUP(TablaDatos[[#This Row],[Contacto contratista]],TablaContactos[Contacto],TablaContactos[Celular],"",0)</f>
        <v/>
      </c>
      <c r="Q8" s="38"/>
      <c r="R8" s="62"/>
      <c r="S8" s="62"/>
      <c r="T8" s="3"/>
      <c r="U8" s="3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2.75" customHeight="1" x14ac:dyDescent="0.25">
      <c r="A9" s="1">
        <f>ROW(TablaDatos[[#This Row],[N°]])-1</f>
        <v>8</v>
      </c>
      <c r="B9" s="1"/>
      <c r="C9" s="40"/>
      <c r="D9" s="1"/>
      <c r="E9" s="1"/>
      <c r="F9" s="2"/>
      <c r="G9" s="40"/>
      <c r="H9" s="1"/>
      <c r="I9" s="2"/>
      <c r="J9" s="1" t="str">
        <f>_xlfn.XLOOKUP(TablaDatos[[#This Row],[Contacto Empresa]],TablaContactos[Contacto],TablaContactos[Celular],"",0)</f>
        <v/>
      </c>
      <c r="K9" s="35"/>
      <c r="L9" s="21"/>
      <c r="M9" s="1"/>
      <c r="N9" s="35"/>
      <c r="O9" s="1"/>
      <c r="P9" s="3" t="str">
        <f>_xlfn.XLOOKUP(TablaDatos[[#This Row],[Contacto contratista]],TablaContactos[Contacto],TablaContactos[Celular],"",0)</f>
        <v/>
      </c>
      <c r="Q9" s="38"/>
      <c r="R9" s="62"/>
      <c r="S9" s="62"/>
      <c r="T9" s="3"/>
      <c r="U9" s="3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2.75" customHeight="1" x14ac:dyDescent="0.25">
      <c r="A10" s="1">
        <f>ROW(TablaDatos[[#This Row],[N°]])-1</f>
        <v>9</v>
      </c>
      <c r="B10" s="1"/>
      <c r="C10" s="40"/>
      <c r="D10" s="1"/>
      <c r="E10" s="1"/>
      <c r="F10" s="2"/>
      <c r="G10" s="40"/>
      <c r="H10" s="1"/>
      <c r="I10" s="2"/>
      <c r="J10" s="1" t="str">
        <f>_xlfn.XLOOKUP(TablaDatos[[#This Row],[Contacto Empresa]],TablaContactos[Contacto],TablaContactos[Celular],"",0)</f>
        <v/>
      </c>
      <c r="K10" s="35"/>
      <c r="L10" s="21"/>
      <c r="M10" s="1"/>
      <c r="N10" s="35"/>
      <c r="O10" s="1"/>
      <c r="P10" s="3" t="str">
        <f>_xlfn.XLOOKUP(TablaDatos[[#This Row],[Contacto contratista]],TablaContactos[Contacto],TablaContactos[Celular],"",0)</f>
        <v/>
      </c>
      <c r="Q10" s="38"/>
      <c r="R10" s="62"/>
      <c r="S10" s="62"/>
      <c r="T10" s="3"/>
      <c r="U10" s="3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2.75" customHeight="1" x14ac:dyDescent="0.25">
      <c r="A11" s="1">
        <f>ROW(TablaDatos[[#This Row],[N°]])-1</f>
        <v>10</v>
      </c>
      <c r="B11" s="1"/>
      <c r="C11" s="40"/>
      <c r="D11" s="1"/>
      <c r="E11" s="1"/>
      <c r="F11" s="2"/>
      <c r="G11" s="40"/>
      <c r="H11" s="1"/>
      <c r="I11" s="2"/>
      <c r="J11" s="1" t="str">
        <f>_xlfn.XLOOKUP(TablaDatos[[#This Row],[Contacto Empresa]],TablaContactos[Contacto],TablaContactos[Celular],"",0)</f>
        <v/>
      </c>
      <c r="K11" s="35"/>
      <c r="L11" s="21"/>
      <c r="M11" s="1"/>
      <c r="N11" s="35"/>
      <c r="O11" s="1"/>
      <c r="P11" s="3" t="str">
        <f>_xlfn.XLOOKUP(TablaDatos[[#This Row],[Contacto contratista]],TablaContactos[Contacto],TablaContactos[Celular],"",0)</f>
        <v/>
      </c>
      <c r="Q11" s="38"/>
      <c r="R11" s="62"/>
      <c r="S11" s="62"/>
      <c r="T11" s="3"/>
      <c r="U11" s="3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2.75" customHeight="1" x14ac:dyDescent="0.25">
      <c r="A12" s="1"/>
      <c r="B12" s="1"/>
      <c r="C12" s="1"/>
      <c r="D12" s="1"/>
      <c r="E12" s="1"/>
      <c r="F12" s="3"/>
      <c r="G12" s="1"/>
      <c r="H12" s="1"/>
      <c r="I12" s="3"/>
      <c r="J12" s="1"/>
      <c r="P12" s="1"/>
      <c r="Q12" s="2"/>
      <c r="R12" s="1"/>
      <c r="S12" s="1"/>
      <c r="T12" s="3"/>
      <c r="U12" s="3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2.75" customHeight="1" x14ac:dyDescent="0.25">
      <c r="A13" s="1"/>
      <c r="B13" s="1"/>
      <c r="C13" s="1"/>
      <c r="D13" s="1"/>
      <c r="E13" s="1"/>
      <c r="F13" s="3"/>
      <c r="G13" s="1"/>
      <c r="H13" s="1"/>
      <c r="I13" s="3"/>
      <c r="J13" s="1"/>
      <c r="P13" s="1"/>
      <c r="Q13" s="2"/>
      <c r="R13" s="1"/>
      <c r="S13" s="1"/>
      <c r="T13" s="3"/>
      <c r="U13" s="3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2.75" customHeight="1" x14ac:dyDescent="0.25">
      <c r="A14" s="1"/>
      <c r="B14" s="1"/>
      <c r="C14" s="1"/>
      <c r="D14" s="1"/>
      <c r="E14" s="1"/>
      <c r="F14" s="3"/>
      <c r="G14" s="1"/>
      <c r="H14" s="1"/>
      <c r="I14" s="3"/>
      <c r="J14" s="1"/>
      <c r="P14" s="1"/>
      <c r="Q14" s="2"/>
      <c r="R14" s="1"/>
      <c r="S14" s="1"/>
      <c r="T14" s="3"/>
      <c r="U14" s="3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2.75" customHeight="1" x14ac:dyDescent="0.25">
      <c r="A15" s="1"/>
      <c r="B15" s="1"/>
      <c r="C15" s="1"/>
      <c r="D15" s="1"/>
      <c r="E15" s="1"/>
      <c r="F15" s="3"/>
      <c r="G15" s="1"/>
      <c r="H15" s="1"/>
      <c r="I15" s="3"/>
      <c r="J15" s="1"/>
      <c r="P15" s="1"/>
      <c r="Q15" s="2"/>
      <c r="R15" s="1"/>
      <c r="S15" s="1"/>
      <c r="T15" s="3"/>
      <c r="U15" s="3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2.75" customHeight="1" x14ac:dyDescent="0.25">
      <c r="A16" s="1"/>
      <c r="B16" s="1"/>
      <c r="C16" s="1"/>
      <c r="D16" s="1"/>
      <c r="E16" s="1"/>
      <c r="F16" s="3"/>
      <c r="G16" s="1"/>
      <c r="H16" s="1"/>
      <c r="I16" s="3"/>
      <c r="J16" s="1"/>
      <c r="P16" s="1"/>
      <c r="Q16" s="2"/>
      <c r="R16" s="1"/>
      <c r="S16" s="1"/>
      <c r="T16" s="3"/>
      <c r="U16" s="3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2.75" customHeight="1" x14ac:dyDescent="0.25">
      <c r="A17" s="1"/>
      <c r="B17" s="1"/>
      <c r="C17" s="1"/>
      <c r="D17" s="1"/>
      <c r="E17" s="1"/>
      <c r="F17" s="3"/>
      <c r="G17" s="1"/>
      <c r="H17" s="1"/>
      <c r="I17" s="3"/>
      <c r="J17" s="1"/>
      <c r="P17" s="1"/>
      <c r="Q17" s="2"/>
      <c r="R17" s="1"/>
      <c r="S17" s="1"/>
      <c r="T17" s="3"/>
      <c r="U17" s="3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2.75" customHeight="1" x14ac:dyDescent="0.25">
      <c r="A18" s="1"/>
      <c r="B18" s="1"/>
      <c r="C18" s="1"/>
      <c r="D18" s="1"/>
      <c r="E18" s="1"/>
      <c r="F18" s="3"/>
      <c r="G18" s="1"/>
      <c r="H18" s="1"/>
      <c r="I18" s="3"/>
      <c r="J18" s="1"/>
      <c r="P18" s="1"/>
      <c r="Q18" s="2"/>
      <c r="R18" s="1"/>
      <c r="S18" s="1"/>
      <c r="T18" s="3"/>
      <c r="U18" s="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2.75" customHeight="1" x14ac:dyDescent="0.25">
      <c r="A19" s="1"/>
      <c r="B19" s="1"/>
      <c r="C19" s="1"/>
      <c r="D19" s="1"/>
      <c r="E19" s="1"/>
      <c r="F19" s="3"/>
      <c r="G19" s="1"/>
      <c r="H19" s="1"/>
      <c r="I19" s="3"/>
      <c r="J19" s="1"/>
      <c r="P19" s="1"/>
      <c r="Q19" s="2"/>
      <c r="R19" s="1"/>
      <c r="S19" s="1"/>
      <c r="T19" s="3"/>
      <c r="U19" s="3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2.75" customHeight="1" x14ac:dyDescent="0.25">
      <c r="A20" s="1"/>
      <c r="B20" s="1"/>
      <c r="C20" s="1"/>
      <c r="D20" s="1"/>
      <c r="E20" s="1"/>
      <c r="F20" s="3"/>
      <c r="G20" s="1"/>
      <c r="H20" s="1"/>
      <c r="I20" s="3"/>
      <c r="J20" s="1"/>
      <c r="P20" s="1"/>
      <c r="Q20" s="2"/>
      <c r="R20" s="1"/>
      <c r="S20" s="1"/>
      <c r="T20" s="3"/>
      <c r="U20" s="3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2.75" customHeight="1" x14ac:dyDescent="0.25">
      <c r="A21" s="1"/>
      <c r="B21" s="1"/>
      <c r="C21" s="1"/>
      <c r="D21" s="1"/>
      <c r="E21" s="1"/>
      <c r="F21" s="3"/>
      <c r="G21" s="1"/>
      <c r="H21" s="1"/>
      <c r="I21" s="3"/>
      <c r="J21" s="1"/>
      <c r="P21" s="1"/>
      <c r="Q21" s="2"/>
      <c r="R21" s="1"/>
      <c r="S21" s="1"/>
      <c r="T21" s="3"/>
      <c r="U21" s="3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2.75" customHeight="1" x14ac:dyDescent="0.25">
      <c r="A22" s="1"/>
      <c r="B22" s="1"/>
      <c r="C22" s="1"/>
      <c r="D22" s="1"/>
      <c r="E22" s="1"/>
      <c r="F22" s="3"/>
      <c r="G22" s="1"/>
      <c r="H22" s="1"/>
      <c r="I22" s="3"/>
      <c r="J22" s="1"/>
      <c r="P22" s="1"/>
      <c r="Q22" s="2"/>
      <c r="R22" s="1"/>
      <c r="S22" s="1"/>
      <c r="T22" s="3"/>
      <c r="U22" s="3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2.75" customHeight="1" x14ac:dyDescent="0.25">
      <c r="A23" s="1"/>
      <c r="B23" s="1"/>
      <c r="C23" s="1"/>
      <c r="D23" s="1"/>
      <c r="E23" s="1"/>
      <c r="F23" s="3"/>
      <c r="G23" s="1"/>
      <c r="H23" s="1"/>
      <c r="I23" s="3"/>
      <c r="J23" s="1"/>
      <c r="P23" s="1"/>
      <c r="Q23" s="2"/>
      <c r="R23" s="1"/>
      <c r="S23" s="1"/>
      <c r="T23" s="3"/>
      <c r="U23" s="3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2.75" customHeight="1" x14ac:dyDescent="0.25">
      <c r="A24" s="1"/>
      <c r="B24" s="1"/>
      <c r="C24" s="1"/>
      <c r="D24" s="1"/>
      <c r="E24" s="1"/>
      <c r="F24" s="3"/>
      <c r="G24" s="1"/>
      <c r="H24" s="1"/>
      <c r="I24" s="3"/>
      <c r="J24" s="1"/>
      <c r="P24" s="1"/>
      <c r="Q24" s="2"/>
      <c r="R24" s="1"/>
      <c r="S24" s="1"/>
      <c r="T24" s="3"/>
      <c r="U24" s="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2.75" customHeight="1" x14ac:dyDescent="0.25">
      <c r="A25" s="1"/>
      <c r="B25" s="1"/>
      <c r="C25" s="1"/>
      <c r="D25" s="1"/>
      <c r="E25" s="1"/>
      <c r="F25" s="3"/>
      <c r="G25" s="1"/>
      <c r="H25" s="1"/>
      <c r="I25" s="3"/>
      <c r="J25" s="1"/>
      <c r="P25" s="1"/>
      <c r="Q25" s="2"/>
      <c r="R25" s="1"/>
      <c r="S25" s="1"/>
      <c r="T25" s="3"/>
      <c r="U25" s="3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2.75" customHeight="1" x14ac:dyDescent="0.25">
      <c r="A26" s="1"/>
      <c r="B26" s="1"/>
      <c r="C26" s="1"/>
      <c r="D26" s="1"/>
      <c r="E26" s="1"/>
      <c r="F26" s="3"/>
      <c r="G26" s="1"/>
      <c r="H26" s="1"/>
      <c r="I26" s="3"/>
      <c r="J26" s="1"/>
      <c r="P26" s="1"/>
      <c r="Q26" s="2"/>
      <c r="R26" s="1"/>
      <c r="S26" s="1"/>
      <c r="T26" s="3"/>
      <c r="U26" s="3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2.75" customHeight="1" x14ac:dyDescent="0.25">
      <c r="A27" s="1"/>
      <c r="B27" s="1"/>
      <c r="C27" s="1"/>
      <c r="D27" s="1"/>
      <c r="E27" s="1"/>
      <c r="F27" s="3"/>
      <c r="G27" s="1"/>
      <c r="H27" s="1"/>
      <c r="I27" s="3"/>
      <c r="J27" s="1"/>
      <c r="P27" s="1"/>
      <c r="Q27" s="2"/>
      <c r="R27" s="1"/>
      <c r="S27" s="1"/>
      <c r="T27" s="3"/>
      <c r="U27" s="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2.75" customHeight="1" x14ac:dyDescent="0.25">
      <c r="A28" s="1"/>
      <c r="B28" s="1"/>
      <c r="C28" s="1"/>
      <c r="D28" s="1"/>
      <c r="E28" s="1"/>
      <c r="F28" s="3"/>
      <c r="G28" s="1"/>
      <c r="H28" s="1"/>
      <c r="I28" s="3"/>
      <c r="J28" s="1"/>
      <c r="P28" s="1"/>
      <c r="Q28" s="2"/>
      <c r="R28" s="1"/>
      <c r="S28" s="1"/>
      <c r="T28" s="3"/>
      <c r="U28" s="3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2.75" customHeight="1" x14ac:dyDescent="0.25">
      <c r="A29" s="1"/>
      <c r="B29" s="1"/>
      <c r="C29" s="1"/>
      <c r="D29" s="1"/>
      <c r="E29" s="1"/>
      <c r="F29" s="3"/>
      <c r="G29" s="1"/>
      <c r="H29" s="1"/>
      <c r="I29" s="3"/>
      <c r="J29" s="1"/>
      <c r="P29" s="1"/>
      <c r="Q29" s="2"/>
      <c r="R29" s="1"/>
      <c r="S29" s="1"/>
      <c r="T29" s="3"/>
      <c r="U29" s="3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2.75" customHeight="1" x14ac:dyDescent="0.25">
      <c r="A30" s="1"/>
      <c r="B30" s="1"/>
      <c r="C30" s="1"/>
      <c r="D30" s="1"/>
      <c r="E30" s="1"/>
      <c r="F30" s="3"/>
      <c r="G30" s="1"/>
      <c r="H30" s="1"/>
      <c r="I30" s="3"/>
      <c r="J30" s="1"/>
      <c r="P30" s="1"/>
      <c r="Q30" s="2"/>
      <c r="R30" s="1"/>
      <c r="S30" s="1"/>
      <c r="T30" s="3"/>
      <c r="U30" s="3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2.75" customHeight="1" x14ac:dyDescent="0.25">
      <c r="A31" s="1"/>
      <c r="B31" s="1"/>
      <c r="C31" s="1"/>
      <c r="D31" s="1"/>
      <c r="E31" s="1"/>
      <c r="F31" s="3"/>
      <c r="G31" s="1"/>
      <c r="H31" s="1"/>
      <c r="I31" s="3"/>
      <c r="J31" s="1"/>
      <c r="P31" s="1"/>
      <c r="Q31" s="2"/>
      <c r="R31" s="1"/>
      <c r="S31" s="1"/>
      <c r="T31" s="3"/>
      <c r="U31" s="3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2.75" customHeight="1" x14ac:dyDescent="0.25">
      <c r="A32" s="1"/>
      <c r="B32" s="1"/>
      <c r="C32" s="1"/>
      <c r="D32" s="1"/>
      <c r="E32" s="1"/>
      <c r="F32" s="3"/>
      <c r="G32" s="1"/>
      <c r="H32" s="1"/>
      <c r="I32" s="3"/>
      <c r="J32" s="1"/>
      <c r="P32" s="1"/>
      <c r="Q32" s="2"/>
      <c r="R32" s="1"/>
      <c r="S32" s="1"/>
      <c r="T32" s="3"/>
      <c r="U32" s="3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2.75" customHeight="1" x14ac:dyDescent="0.25">
      <c r="A33" s="1"/>
      <c r="B33" s="1"/>
      <c r="C33" s="1"/>
      <c r="D33" s="1"/>
      <c r="E33" s="1"/>
      <c r="F33" s="3"/>
      <c r="G33" s="1"/>
      <c r="H33" s="1"/>
      <c r="I33" s="3"/>
      <c r="J33" s="1"/>
      <c r="P33" s="1"/>
      <c r="Q33" s="2"/>
      <c r="R33" s="1"/>
      <c r="S33" s="1"/>
      <c r="T33" s="3"/>
      <c r="U33" s="3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2.75" customHeight="1" x14ac:dyDescent="0.25">
      <c r="A34" s="1"/>
      <c r="B34" s="1"/>
      <c r="C34" s="1"/>
      <c r="D34" s="1"/>
      <c r="E34" s="1"/>
      <c r="F34" s="3"/>
      <c r="G34" s="1"/>
      <c r="H34" s="1"/>
      <c r="I34" s="3"/>
      <c r="J34" s="1"/>
      <c r="P34" s="1"/>
      <c r="Q34" s="2"/>
      <c r="R34" s="1"/>
      <c r="S34" s="1"/>
      <c r="T34" s="3"/>
      <c r="U34" s="3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2.75" customHeight="1" x14ac:dyDescent="0.25">
      <c r="A35" s="1"/>
      <c r="B35" s="1"/>
      <c r="C35" s="1"/>
      <c r="D35" s="1"/>
      <c r="E35" s="1"/>
      <c r="F35" s="3"/>
      <c r="G35" s="1"/>
      <c r="H35" s="1"/>
      <c r="I35" s="3"/>
      <c r="J35" s="1"/>
      <c r="P35" s="1"/>
      <c r="Q35" s="2"/>
      <c r="R35" s="1"/>
      <c r="S35" s="1"/>
      <c r="T35" s="3"/>
      <c r="U35" s="3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2.75" customHeight="1" x14ac:dyDescent="0.25">
      <c r="A36" s="1"/>
      <c r="B36" s="1"/>
      <c r="C36" s="1"/>
      <c r="D36" s="1"/>
      <c r="E36" s="1"/>
      <c r="F36" s="3"/>
      <c r="G36" s="1"/>
      <c r="H36" s="1"/>
      <c r="I36" s="3"/>
      <c r="J36" s="1"/>
      <c r="P36" s="1"/>
      <c r="Q36" s="2"/>
      <c r="R36" s="1"/>
      <c r="S36" s="1"/>
      <c r="T36" s="3"/>
      <c r="U36" s="3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2.75" customHeight="1" x14ac:dyDescent="0.25">
      <c r="A37" s="1"/>
      <c r="B37" s="1"/>
      <c r="C37" s="1"/>
      <c r="D37" s="1"/>
      <c r="E37" s="1"/>
      <c r="F37" s="3"/>
      <c r="G37" s="1"/>
      <c r="H37" s="1"/>
      <c r="I37" s="3"/>
      <c r="J37" s="1"/>
      <c r="P37" s="1"/>
      <c r="Q37" s="2"/>
      <c r="R37" s="1"/>
      <c r="S37" s="1"/>
      <c r="T37" s="3"/>
      <c r="U37" s="3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2.75" customHeight="1" x14ac:dyDescent="0.25">
      <c r="A38" s="1"/>
      <c r="B38" s="1"/>
      <c r="C38" s="1"/>
      <c r="D38" s="1"/>
      <c r="E38" s="1"/>
      <c r="F38" s="3"/>
      <c r="G38" s="1"/>
      <c r="H38" s="1"/>
      <c r="I38" s="3"/>
      <c r="J38" s="1"/>
      <c r="P38" s="1"/>
      <c r="Q38" s="2"/>
      <c r="R38" s="1"/>
      <c r="S38" s="1"/>
      <c r="T38" s="3"/>
      <c r="U38" s="3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2.75" customHeight="1" x14ac:dyDescent="0.25">
      <c r="A39" s="1"/>
      <c r="B39" s="1"/>
      <c r="C39" s="1"/>
      <c r="D39" s="1"/>
      <c r="E39" s="1"/>
      <c r="F39" s="3"/>
      <c r="G39" s="1"/>
      <c r="H39" s="1"/>
      <c r="I39" s="3"/>
      <c r="J39" s="1"/>
      <c r="P39" s="1"/>
      <c r="Q39" s="2"/>
      <c r="R39" s="1"/>
      <c r="S39" s="1"/>
      <c r="T39" s="3"/>
      <c r="U39" s="3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2.75" customHeight="1" x14ac:dyDescent="0.25">
      <c r="A40" s="1"/>
      <c r="B40" s="1"/>
      <c r="C40" s="1"/>
      <c r="D40" s="1"/>
      <c r="E40" s="1"/>
      <c r="F40" s="3"/>
      <c r="G40" s="1"/>
      <c r="H40" s="1"/>
      <c r="I40" s="3"/>
      <c r="J40" s="1"/>
      <c r="P40" s="1"/>
      <c r="Q40" s="2"/>
      <c r="R40" s="1"/>
      <c r="S40" s="1"/>
      <c r="T40" s="3"/>
      <c r="U40" s="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2.75" customHeight="1" x14ac:dyDescent="0.25">
      <c r="A41" s="1"/>
      <c r="B41" s="1"/>
      <c r="C41" s="1"/>
      <c r="D41" s="1"/>
      <c r="E41" s="1"/>
      <c r="F41" s="3"/>
      <c r="G41" s="1"/>
      <c r="H41" s="1"/>
      <c r="I41" s="3"/>
      <c r="J41" s="1"/>
      <c r="P41" s="1"/>
      <c r="Q41" s="2"/>
      <c r="R41" s="1"/>
      <c r="S41" s="1"/>
      <c r="T41" s="3"/>
      <c r="U41" s="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2.75" customHeight="1" x14ac:dyDescent="0.25">
      <c r="A42" s="1"/>
      <c r="B42" s="1"/>
      <c r="C42" s="1"/>
      <c r="D42" s="1"/>
      <c r="E42" s="1"/>
      <c r="F42" s="3"/>
      <c r="G42" s="1"/>
      <c r="H42" s="1"/>
      <c r="I42" s="3"/>
      <c r="J42" s="1"/>
      <c r="P42" s="1"/>
      <c r="Q42" s="2"/>
      <c r="R42" s="1"/>
      <c r="S42" s="1"/>
      <c r="T42" s="3"/>
      <c r="U42" s="3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2.75" customHeight="1" x14ac:dyDescent="0.25">
      <c r="A43" s="1"/>
      <c r="B43" s="1"/>
      <c r="C43" s="1"/>
      <c r="D43" s="1"/>
      <c r="E43" s="1"/>
      <c r="F43" s="3"/>
      <c r="G43" s="1"/>
      <c r="H43" s="1"/>
      <c r="I43" s="3"/>
      <c r="J43" s="1"/>
      <c r="P43" s="1"/>
      <c r="Q43" s="2"/>
      <c r="R43" s="1"/>
      <c r="S43" s="1"/>
      <c r="T43" s="3"/>
      <c r="U43" s="3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2.75" customHeight="1" x14ac:dyDescent="0.25">
      <c r="A44" s="1"/>
      <c r="B44" s="1"/>
      <c r="C44" s="1"/>
      <c r="D44" s="1"/>
      <c r="E44" s="1"/>
      <c r="F44" s="3"/>
      <c r="G44" s="1"/>
      <c r="H44" s="1"/>
      <c r="I44" s="3"/>
      <c r="J44" s="1"/>
      <c r="P44" s="1"/>
      <c r="Q44" s="2"/>
      <c r="R44" s="1"/>
      <c r="S44" s="1"/>
      <c r="T44" s="3"/>
      <c r="U44" s="3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2.75" customHeight="1" x14ac:dyDescent="0.25">
      <c r="A45" s="1"/>
      <c r="B45" s="1"/>
      <c r="C45" s="1"/>
      <c r="D45" s="1"/>
      <c r="E45" s="1"/>
      <c r="F45" s="3"/>
      <c r="G45" s="1"/>
      <c r="H45" s="1"/>
      <c r="I45" s="3"/>
      <c r="J45" s="1"/>
      <c r="P45" s="1"/>
      <c r="Q45" s="2"/>
      <c r="R45" s="1"/>
      <c r="S45" s="1"/>
      <c r="T45" s="3"/>
      <c r="U45" s="3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2.75" customHeight="1" x14ac:dyDescent="0.25">
      <c r="A46" s="1"/>
      <c r="B46" s="1"/>
      <c r="C46" s="1"/>
      <c r="D46" s="1"/>
      <c r="E46" s="1"/>
      <c r="F46" s="3"/>
      <c r="G46" s="1"/>
      <c r="H46" s="1"/>
      <c r="I46" s="3"/>
      <c r="J46" s="1"/>
      <c r="P46" s="1"/>
      <c r="Q46" s="2"/>
      <c r="R46" s="1"/>
      <c r="S46" s="1"/>
      <c r="T46" s="3"/>
      <c r="U46" s="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2.75" customHeight="1" x14ac:dyDescent="0.25">
      <c r="A47" s="1"/>
      <c r="B47" s="1"/>
      <c r="C47" s="1"/>
      <c r="D47" s="1"/>
      <c r="E47" s="1"/>
      <c r="F47" s="3"/>
      <c r="G47" s="1"/>
      <c r="H47" s="1"/>
      <c r="I47" s="3"/>
      <c r="J47" s="1"/>
      <c r="P47" s="1"/>
      <c r="Q47" s="2"/>
      <c r="R47" s="1"/>
      <c r="S47" s="1"/>
      <c r="T47" s="3"/>
      <c r="U47" s="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2.75" customHeight="1" x14ac:dyDescent="0.25">
      <c r="A48" s="1"/>
      <c r="B48" s="1"/>
      <c r="C48" s="1"/>
      <c r="D48" s="1"/>
      <c r="E48" s="1"/>
      <c r="F48" s="3"/>
      <c r="G48" s="1"/>
      <c r="H48" s="1"/>
      <c r="I48" s="3"/>
      <c r="J48" s="1"/>
      <c r="P48" s="1"/>
      <c r="Q48" s="2"/>
      <c r="R48" s="1"/>
      <c r="S48" s="1"/>
      <c r="T48" s="3"/>
      <c r="U48" s="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2.75" customHeight="1" x14ac:dyDescent="0.25">
      <c r="A49" s="1"/>
      <c r="B49" s="1"/>
      <c r="C49" s="1"/>
      <c r="D49" s="1"/>
      <c r="E49" s="1"/>
      <c r="F49" s="3"/>
      <c r="G49" s="1"/>
      <c r="H49" s="1"/>
      <c r="I49" s="3"/>
      <c r="J49" s="1"/>
      <c r="P49" s="1"/>
      <c r="Q49" s="2"/>
      <c r="R49" s="1"/>
      <c r="S49" s="1"/>
      <c r="T49" s="3"/>
      <c r="U49" s="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2.75" customHeight="1" x14ac:dyDescent="0.25">
      <c r="A50" s="1"/>
      <c r="B50" s="1"/>
      <c r="C50" s="1"/>
      <c r="D50" s="1"/>
      <c r="E50" s="1"/>
      <c r="F50" s="3"/>
      <c r="G50" s="1"/>
      <c r="H50" s="1"/>
      <c r="I50" s="3"/>
      <c r="J50" s="1"/>
      <c r="P50" s="1"/>
      <c r="Q50" s="2"/>
      <c r="R50" s="1"/>
      <c r="S50" s="1"/>
      <c r="T50" s="3"/>
      <c r="U50" s="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2.75" customHeight="1" x14ac:dyDescent="0.25">
      <c r="A51" s="1"/>
      <c r="B51" s="1"/>
      <c r="C51" s="1"/>
      <c r="D51" s="1"/>
      <c r="E51" s="1"/>
      <c r="F51" s="3"/>
      <c r="G51" s="1"/>
      <c r="H51" s="1"/>
      <c r="I51" s="3"/>
      <c r="J51" s="1"/>
      <c r="P51" s="1"/>
      <c r="Q51" s="2"/>
      <c r="R51" s="1"/>
      <c r="S51" s="1"/>
      <c r="T51" s="3"/>
      <c r="U51" s="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2.75" customHeight="1" x14ac:dyDescent="0.25">
      <c r="A52" s="1"/>
      <c r="B52" s="1"/>
      <c r="C52" s="1"/>
      <c r="D52" s="1"/>
      <c r="E52" s="1"/>
      <c r="F52" s="3"/>
      <c r="G52" s="1"/>
      <c r="H52" s="1"/>
      <c r="I52" s="3"/>
      <c r="J52" s="1"/>
      <c r="P52" s="1"/>
      <c r="Q52" s="2"/>
      <c r="R52" s="1"/>
      <c r="S52" s="1"/>
      <c r="T52" s="3"/>
      <c r="U52" s="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2.75" customHeight="1" x14ac:dyDescent="0.25">
      <c r="A53" s="1"/>
      <c r="B53" s="1"/>
      <c r="C53" s="1"/>
      <c r="D53" s="1"/>
      <c r="E53" s="1"/>
      <c r="F53" s="3"/>
      <c r="G53" s="1"/>
      <c r="H53" s="1"/>
      <c r="I53" s="3"/>
      <c r="J53" s="1"/>
      <c r="P53" s="1"/>
      <c r="Q53" s="2"/>
      <c r="R53" s="1"/>
      <c r="S53" s="1"/>
      <c r="T53" s="3"/>
      <c r="U53" s="3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2.75" customHeight="1" x14ac:dyDescent="0.25">
      <c r="A54" s="1"/>
      <c r="B54" s="1"/>
      <c r="C54" s="1"/>
      <c r="D54" s="1"/>
      <c r="E54" s="1"/>
      <c r="F54" s="3"/>
      <c r="G54" s="1"/>
      <c r="H54" s="1"/>
      <c r="I54" s="3"/>
      <c r="J54" s="1"/>
      <c r="P54" s="1"/>
      <c r="Q54" s="2"/>
      <c r="R54" s="1"/>
      <c r="S54" s="1"/>
      <c r="T54" s="3"/>
      <c r="U54" s="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2.75" customHeight="1" x14ac:dyDescent="0.25">
      <c r="A55" s="1"/>
      <c r="B55" s="1"/>
      <c r="C55" s="1"/>
      <c r="D55" s="1"/>
      <c r="E55" s="1"/>
      <c r="F55" s="3"/>
      <c r="G55" s="1"/>
      <c r="H55" s="1"/>
      <c r="I55" s="3"/>
      <c r="J55" s="1"/>
      <c r="P55" s="1"/>
      <c r="Q55" s="2"/>
      <c r="R55" s="1"/>
      <c r="S55" s="1"/>
      <c r="T55" s="3"/>
      <c r="U55" s="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2.75" customHeight="1" x14ac:dyDescent="0.25">
      <c r="A56" s="1"/>
      <c r="B56" s="1"/>
      <c r="C56" s="1"/>
      <c r="D56" s="1"/>
      <c r="E56" s="1"/>
      <c r="F56" s="3"/>
      <c r="G56" s="1"/>
      <c r="H56" s="1"/>
      <c r="I56" s="3"/>
      <c r="J56" s="1"/>
      <c r="P56" s="1"/>
      <c r="Q56" s="2"/>
      <c r="R56" s="1"/>
      <c r="S56" s="1"/>
      <c r="T56" s="3"/>
      <c r="U56" s="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2.75" customHeight="1" x14ac:dyDescent="0.25">
      <c r="A57" s="1"/>
      <c r="B57" s="1"/>
      <c r="C57" s="1"/>
      <c r="D57" s="1"/>
      <c r="E57" s="1"/>
      <c r="F57" s="3"/>
      <c r="G57" s="1"/>
      <c r="H57" s="1"/>
      <c r="I57" s="3"/>
      <c r="J57" s="1"/>
      <c r="P57" s="1"/>
      <c r="Q57" s="2"/>
      <c r="R57" s="1"/>
      <c r="S57" s="1"/>
      <c r="T57" s="3"/>
      <c r="U57" s="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2.75" customHeight="1" x14ac:dyDescent="0.25">
      <c r="A58" s="1"/>
      <c r="B58" s="1"/>
      <c r="C58" s="1"/>
      <c r="D58" s="1"/>
      <c r="E58" s="1"/>
      <c r="F58" s="3"/>
      <c r="G58" s="1"/>
      <c r="H58" s="1"/>
      <c r="I58" s="3"/>
      <c r="J58" s="1"/>
      <c r="P58" s="1"/>
      <c r="Q58" s="2"/>
      <c r="R58" s="1"/>
      <c r="S58" s="1"/>
      <c r="T58" s="3"/>
      <c r="U58" s="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2.75" customHeight="1" x14ac:dyDescent="0.25">
      <c r="A59" s="1"/>
      <c r="B59" s="1"/>
      <c r="C59" s="1"/>
      <c r="D59" s="1"/>
      <c r="E59" s="1"/>
      <c r="F59" s="3"/>
      <c r="G59" s="1"/>
      <c r="H59" s="1"/>
      <c r="I59" s="3"/>
      <c r="J59" s="1"/>
      <c r="P59" s="1"/>
      <c r="Q59" s="2"/>
      <c r="R59" s="1"/>
      <c r="S59" s="1"/>
      <c r="T59" s="3"/>
      <c r="U59" s="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2.75" customHeight="1" x14ac:dyDescent="0.25">
      <c r="A60" s="1"/>
      <c r="B60" s="1"/>
      <c r="C60" s="1"/>
      <c r="D60" s="1"/>
      <c r="E60" s="1"/>
      <c r="F60" s="3"/>
      <c r="G60" s="1"/>
      <c r="H60" s="1"/>
      <c r="I60" s="3"/>
      <c r="J60" s="1"/>
      <c r="P60" s="1"/>
      <c r="Q60" s="2"/>
      <c r="R60" s="1"/>
      <c r="S60" s="1"/>
      <c r="T60" s="3"/>
      <c r="U60" s="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2.75" customHeight="1" x14ac:dyDescent="0.25">
      <c r="A61" s="1"/>
      <c r="B61" s="1"/>
      <c r="C61" s="1"/>
      <c r="D61" s="1"/>
      <c r="E61" s="1"/>
      <c r="F61" s="3"/>
      <c r="G61" s="1"/>
      <c r="H61" s="1"/>
      <c r="I61" s="3"/>
      <c r="J61" s="1"/>
      <c r="P61" s="1"/>
      <c r="Q61" s="2"/>
      <c r="R61" s="1"/>
      <c r="S61" s="1"/>
      <c r="T61" s="3"/>
      <c r="U61" s="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2.75" customHeight="1" x14ac:dyDescent="0.25">
      <c r="A62" s="1"/>
      <c r="B62" s="1"/>
      <c r="C62" s="1"/>
      <c r="D62" s="1"/>
      <c r="E62" s="1"/>
      <c r="F62" s="3"/>
      <c r="G62" s="1"/>
      <c r="H62" s="1"/>
      <c r="I62" s="3"/>
      <c r="J62" s="1"/>
      <c r="P62" s="1"/>
      <c r="Q62" s="2"/>
      <c r="R62" s="1"/>
      <c r="S62" s="1"/>
      <c r="T62" s="3"/>
      <c r="U62" s="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2.75" customHeight="1" x14ac:dyDescent="0.25">
      <c r="A63" s="1"/>
      <c r="B63" s="1"/>
      <c r="C63" s="1"/>
      <c r="D63" s="1"/>
      <c r="E63" s="1"/>
      <c r="F63" s="3"/>
      <c r="G63" s="1"/>
      <c r="H63" s="1"/>
      <c r="I63" s="3"/>
      <c r="J63" s="1"/>
      <c r="P63" s="1"/>
      <c r="Q63" s="2"/>
      <c r="R63" s="1"/>
      <c r="S63" s="1"/>
      <c r="T63" s="3"/>
      <c r="U63" s="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 x14ac:dyDescent="0.25">
      <c r="A64" s="1"/>
      <c r="B64" s="1"/>
      <c r="C64" s="1"/>
      <c r="D64" s="1"/>
      <c r="E64" s="1"/>
      <c r="F64" s="3"/>
      <c r="G64" s="1"/>
      <c r="H64" s="1"/>
      <c r="I64" s="3"/>
      <c r="J64" s="1"/>
      <c r="P64" s="1"/>
      <c r="Q64" s="2"/>
      <c r="R64" s="1"/>
      <c r="S64" s="1"/>
      <c r="T64" s="3"/>
      <c r="U64" s="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 x14ac:dyDescent="0.25">
      <c r="A65" s="1"/>
      <c r="B65" s="1"/>
      <c r="C65" s="1"/>
      <c r="D65" s="1"/>
      <c r="E65" s="1"/>
      <c r="F65" s="3"/>
      <c r="G65" s="1"/>
      <c r="H65" s="1"/>
      <c r="I65" s="3"/>
      <c r="J65" s="1"/>
      <c r="P65" s="1"/>
      <c r="Q65" s="2"/>
      <c r="R65" s="1"/>
      <c r="S65" s="1"/>
      <c r="T65" s="3"/>
      <c r="U65" s="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 x14ac:dyDescent="0.25">
      <c r="A66" s="1"/>
      <c r="B66" s="1"/>
      <c r="C66" s="1"/>
      <c r="D66" s="1"/>
      <c r="E66" s="1"/>
      <c r="F66" s="3"/>
      <c r="G66" s="1"/>
      <c r="H66" s="1"/>
      <c r="I66" s="3"/>
      <c r="J66" s="1"/>
      <c r="P66" s="1"/>
      <c r="Q66" s="2"/>
      <c r="R66" s="1"/>
      <c r="S66" s="1"/>
      <c r="T66" s="3"/>
      <c r="U66" s="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 x14ac:dyDescent="0.25">
      <c r="A67" s="1"/>
      <c r="B67" s="1"/>
      <c r="C67" s="1"/>
      <c r="D67" s="1"/>
      <c r="E67" s="1"/>
      <c r="F67" s="3"/>
      <c r="G67" s="1"/>
      <c r="H67" s="1"/>
      <c r="I67" s="3"/>
      <c r="J67" s="1"/>
      <c r="P67" s="1"/>
      <c r="Q67" s="2"/>
      <c r="R67" s="1"/>
      <c r="S67" s="1"/>
      <c r="T67" s="3"/>
      <c r="U67" s="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 x14ac:dyDescent="0.25">
      <c r="A68" s="1"/>
      <c r="B68" s="1"/>
      <c r="C68" s="1"/>
      <c r="D68" s="1"/>
      <c r="E68" s="1"/>
      <c r="F68" s="3"/>
      <c r="G68" s="1"/>
      <c r="H68" s="1"/>
      <c r="I68" s="3"/>
      <c r="J68" s="1"/>
      <c r="P68" s="1"/>
      <c r="Q68" s="2"/>
      <c r="R68" s="1"/>
      <c r="S68" s="1"/>
      <c r="T68" s="3"/>
      <c r="U68" s="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 x14ac:dyDescent="0.25">
      <c r="A69" s="1"/>
      <c r="B69" s="1"/>
      <c r="C69" s="1"/>
      <c r="D69" s="1"/>
      <c r="E69" s="1"/>
      <c r="F69" s="3"/>
      <c r="G69" s="1"/>
      <c r="H69" s="1"/>
      <c r="I69" s="3"/>
      <c r="J69" s="1"/>
      <c r="P69" s="1"/>
      <c r="Q69" s="2"/>
      <c r="R69" s="1"/>
      <c r="S69" s="1"/>
      <c r="T69" s="3"/>
      <c r="U69" s="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 x14ac:dyDescent="0.25">
      <c r="A70" s="1"/>
      <c r="B70" s="1"/>
      <c r="C70" s="1"/>
      <c r="D70" s="1"/>
      <c r="E70" s="1"/>
      <c r="F70" s="3"/>
      <c r="G70" s="1"/>
      <c r="H70" s="1"/>
      <c r="I70" s="3"/>
      <c r="J70" s="1"/>
      <c r="P70" s="1"/>
      <c r="Q70" s="2"/>
      <c r="R70" s="1"/>
      <c r="S70" s="1"/>
      <c r="T70" s="3"/>
      <c r="U70" s="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 x14ac:dyDescent="0.25">
      <c r="A71" s="1"/>
      <c r="B71" s="1"/>
      <c r="C71" s="1"/>
      <c r="D71" s="1"/>
      <c r="E71" s="1"/>
      <c r="F71" s="3"/>
      <c r="G71" s="1"/>
      <c r="H71" s="1"/>
      <c r="I71" s="3"/>
      <c r="J71" s="1"/>
      <c r="P71" s="1"/>
      <c r="Q71" s="2"/>
      <c r="R71" s="1"/>
      <c r="S71" s="1"/>
      <c r="T71" s="3"/>
      <c r="U71" s="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 x14ac:dyDescent="0.25">
      <c r="A72" s="1"/>
      <c r="B72" s="1"/>
      <c r="C72" s="1"/>
      <c r="D72" s="1"/>
      <c r="E72" s="1"/>
      <c r="F72" s="3"/>
      <c r="G72" s="1"/>
      <c r="H72" s="1"/>
      <c r="I72" s="3"/>
      <c r="J72" s="1"/>
      <c r="P72" s="1"/>
      <c r="Q72" s="2"/>
      <c r="R72" s="1"/>
      <c r="S72" s="1"/>
      <c r="T72" s="3"/>
      <c r="U72" s="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 x14ac:dyDescent="0.25">
      <c r="A73" s="1"/>
      <c r="B73" s="1"/>
      <c r="C73" s="1"/>
      <c r="D73" s="1"/>
      <c r="E73" s="1"/>
      <c r="F73" s="3"/>
      <c r="G73" s="1"/>
      <c r="H73" s="1"/>
      <c r="I73" s="3"/>
      <c r="J73" s="1"/>
      <c r="P73" s="1"/>
      <c r="Q73" s="2"/>
      <c r="R73" s="1"/>
      <c r="S73" s="1"/>
      <c r="T73" s="3"/>
      <c r="U73" s="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 x14ac:dyDescent="0.25">
      <c r="A74" s="1"/>
      <c r="B74" s="1"/>
      <c r="C74" s="1"/>
      <c r="D74" s="1"/>
      <c r="E74" s="1"/>
      <c r="F74" s="3"/>
      <c r="G74" s="1"/>
      <c r="H74" s="1"/>
      <c r="I74" s="3"/>
      <c r="J74" s="1"/>
      <c r="P74" s="1"/>
      <c r="Q74" s="2"/>
      <c r="R74" s="1"/>
      <c r="S74" s="1"/>
      <c r="T74" s="3"/>
      <c r="U74" s="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 x14ac:dyDescent="0.25">
      <c r="A75" s="1"/>
      <c r="B75" s="1"/>
      <c r="C75" s="1"/>
      <c r="D75" s="1"/>
      <c r="E75" s="1"/>
      <c r="F75" s="3"/>
      <c r="G75" s="1"/>
      <c r="H75" s="1"/>
      <c r="I75" s="3"/>
      <c r="J75" s="1"/>
      <c r="P75" s="1"/>
      <c r="Q75" s="2"/>
      <c r="R75" s="1"/>
      <c r="S75" s="1"/>
      <c r="T75" s="3"/>
      <c r="U75" s="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 x14ac:dyDescent="0.25">
      <c r="A76" s="1"/>
      <c r="B76" s="1"/>
      <c r="C76" s="1"/>
      <c r="D76" s="1"/>
      <c r="E76" s="1"/>
      <c r="F76" s="3"/>
      <c r="G76" s="1"/>
      <c r="H76" s="1"/>
      <c r="I76" s="3"/>
      <c r="J76" s="1"/>
      <c r="P76" s="1"/>
      <c r="Q76" s="2"/>
      <c r="R76" s="1"/>
      <c r="S76" s="1"/>
      <c r="T76" s="3"/>
      <c r="U76" s="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 x14ac:dyDescent="0.25">
      <c r="A77" s="1"/>
      <c r="B77" s="1"/>
      <c r="C77" s="1"/>
      <c r="D77" s="1"/>
      <c r="E77" s="1"/>
      <c r="F77" s="3"/>
      <c r="G77" s="1"/>
      <c r="H77" s="1"/>
      <c r="I77" s="3"/>
      <c r="J77" s="1"/>
      <c r="P77" s="1"/>
      <c r="Q77" s="2"/>
      <c r="R77" s="1"/>
      <c r="S77" s="1"/>
      <c r="T77" s="3"/>
      <c r="U77" s="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 x14ac:dyDescent="0.25">
      <c r="A78" s="1"/>
      <c r="B78" s="1"/>
      <c r="C78" s="1"/>
      <c r="D78" s="1"/>
      <c r="E78" s="1"/>
      <c r="F78" s="3"/>
      <c r="G78" s="1"/>
      <c r="H78" s="1"/>
      <c r="I78" s="3"/>
      <c r="J78" s="1"/>
      <c r="P78" s="1"/>
      <c r="Q78" s="2"/>
      <c r="R78" s="1"/>
      <c r="S78" s="1"/>
      <c r="T78" s="3"/>
      <c r="U78" s="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 x14ac:dyDescent="0.25">
      <c r="A79" s="1"/>
      <c r="B79" s="1"/>
      <c r="C79" s="1"/>
      <c r="D79" s="1"/>
      <c r="E79" s="1"/>
      <c r="F79" s="3"/>
      <c r="G79" s="1"/>
      <c r="H79" s="1"/>
      <c r="I79" s="3"/>
      <c r="J79" s="1"/>
      <c r="P79" s="1"/>
      <c r="Q79" s="2"/>
      <c r="R79" s="1"/>
      <c r="S79" s="1"/>
      <c r="T79" s="3"/>
      <c r="U79" s="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 x14ac:dyDescent="0.25">
      <c r="A80" s="1"/>
      <c r="B80" s="1"/>
      <c r="C80" s="1"/>
      <c r="D80" s="1"/>
      <c r="E80" s="1"/>
      <c r="F80" s="3"/>
      <c r="G80" s="1"/>
      <c r="H80" s="1"/>
      <c r="I80" s="3"/>
      <c r="J80" s="1"/>
      <c r="P80" s="1"/>
      <c r="Q80" s="2"/>
      <c r="R80" s="1"/>
      <c r="S80" s="1"/>
      <c r="T80" s="3"/>
      <c r="U80" s="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2.75" customHeight="1" x14ac:dyDescent="0.25">
      <c r="A81" s="1"/>
      <c r="B81" s="1"/>
      <c r="C81" s="1"/>
      <c r="D81" s="1"/>
      <c r="E81" s="1"/>
      <c r="F81" s="3"/>
      <c r="G81" s="1"/>
      <c r="H81" s="1"/>
      <c r="I81" s="3"/>
      <c r="J81" s="1"/>
      <c r="P81" s="1"/>
      <c r="Q81" s="2"/>
      <c r="R81" s="1"/>
      <c r="S81" s="1"/>
      <c r="T81" s="3"/>
      <c r="U81" s="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2.75" customHeight="1" x14ac:dyDescent="0.25">
      <c r="A82" s="1"/>
      <c r="B82" s="1"/>
      <c r="C82" s="1"/>
      <c r="D82" s="1"/>
      <c r="E82" s="1"/>
      <c r="F82" s="3"/>
      <c r="G82" s="1"/>
      <c r="H82" s="1"/>
      <c r="I82" s="3"/>
      <c r="J82" s="1"/>
      <c r="P82" s="1"/>
      <c r="Q82" s="2"/>
      <c r="R82" s="1"/>
      <c r="S82" s="1"/>
      <c r="T82" s="3"/>
      <c r="U82" s="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2.75" customHeight="1" x14ac:dyDescent="0.25">
      <c r="A83" s="1"/>
      <c r="B83" s="1"/>
      <c r="C83" s="1"/>
      <c r="D83" s="1"/>
      <c r="E83" s="1"/>
      <c r="F83" s="3"/>
      <c r="G83" s="1"/>
      <c r="H83" s="1"/>
      <c r="I83" s="3"/>
      <c r="J83" s="1"/>
      <c r="P83" s="1"/>
      <c r="Q83" s="2"/>
      <c r="R83" s="1"/>
      <c r="S83" s="1"/>
      <c r="T83" s="3"/>
      <c r="U83" s="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2.75" customHeight="1" x14ac:dyDescent="0.25">
      <c r="A84" s="1"/>
      <c r="B84" s="1"/>
      <c r="C84" s="1"/>
      <c r="D84" s="1"/>
      <c r="E84" s="1"/>
      <c r="F84" s="3"/>
      <c r="G84" s="1"/>
      <c r="H84" s="1"/>
      <c r="I84" s="3"/>
      <c r="J84" s="1"/>
      <c r="P84" s="1"/>
      <c r="Q84" s="2"/>
      <c r="R84" s="1"/>
      <c r="S84" s="1"/>
      <c r="T84" s="3"/>
      <c r="U84" s="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2.75" customHeight="1" x14ac:dyDescent="0.25">
      <c r="A85" s="1"/>
      <c r="B85" s="1"/>
      <c r="C85" s="1"/>
      <c r="D85" s="1"/>
      <c r="E85" s="1"/>
      <c r="F85" s="3"/>
      <c r="G85" s="1"/>
      <c r="H85" s="1"/>
      <c r="I85" s="3"/>
      <c r="J85" s="1"/>
      <c r="P85" s="1"/>
      <c r="Q85" s="2"/>
      <c r="R85" s="1"/>
      <c r="S85" s="1"/>
      <c r="T85" s="3"/>
      <c r="U85" s="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2.75" customHeight="1" x14ac:dyDescent="0.25">
      <c r="A86" s="1"/>
      <c r="B86" s="1"/>
      <c r="C86" s="1"/>
      <c r="D86" s="1"/>
      <c r="E86" s="1"/>
      <c r="F86" s="3"/>
      <c r="G86" s="1"/>
      <c r="H86" s="1"/>
      <c r="I86" s="3"/>
      <c r="J86" s="1"/>
      <c r="P86" s="1"/>
      <c r="Q86" s="2"/>
      <c r="R86" s="1"/>
      <c r="S86" s="1"/>
      <c r="T86" s="3"/>
      <c r="U86" s="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2.75" customHeight="1" x14ac:dyDescent="0.25">
      <c r="A87" s="1"/>
      <c r="B87" s="1"/>
      <c r="C87" s="1"/>
      <c r="D87" s="1"/>
      <c r="E87" s="1"/>
      <c r="F87" s="3"/>
      <c r="G87" s="1"/>
      <c r="H87" s="1"/>
      <c r="I87" s="3"/>
      <c r="J87" s="1"/>
      <c r="P87" s="1"/>
      <c r="Q87" s="2"/>
      <c r="R87" s="1"/>
      <c r="S87" s="1"/>
      <c r="T87" s="3"/>
      <c r="U87" s="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2.75" customHeight="1" x14ac:dyDescent="0.25">
      <c r="A88" s="1"/>
      <c r="B88" s="1"/>
      <c r="C88" s="1"/>
      <c r="D88" s="1"/>
      <c r="E88" s="1"/>
      <c r="F88" s="3"/>
      <c r="G88" s="1"/>
      <c r="H88" s="1"/>
      <c r="I88" s="3"/>
      <c r="J88" s="1"/>
      <c r="P88" s="1"/>
      <c r="Q88" s="2"/>
      <c r="R88" s="1"/>
      <c r="S88" s="1"/>
      <c r="T88" s="3"/>
      <c r="U88" s="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2.75" customHeight="1" x14ac:dyDescent="0.25">
      <c r="A89" s="1"/>
      <c r="B89" s="1"/>
      <c r="C89" s="1"/>
      <c r="D89" s="1"/>
      <c r="E89" s="1"/>
      <c r="F89" s="3"/>
      <c r="G89" s="1"/>
      <c r="H89" s="1"/>
      <c r="I89" s="3"/>
      <c r="J89" s="1"/>
      <c r="P89" s="1"/>
      <c r="Q89" s="2"/>
      <c r="R89" s="1"/>
      <c r="S89" s="1"/>
      <c r="T89" s="3"/>
      <c r="U89" s="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2.75" customHeight="1" x14ac:dyDescent="0.25">
      <c r="A90" s="1"/>
      <c r="B90" s="1"/>
      <c r="C90" s="1"/>
      <c r="D90" s="1"/>
      <c r="E90" s="1"/>
      <c r="F90" s="3"/>
      <c r="G90" s="1"/>
      <c r="H90" s="1"/>
      <c r="I90" s="3"/>
      <c r="J90" s="1"/>
      <c r="P90" s="1"/>
      <c r="Q90" s="2"/>
      <c r="R90" s="1"/>
      <c r="S90" s="1"/>
      <c r="T90" s="3"/>
      <c r="U90" s="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2.75" customHeight="1" x14ac:dyDescent="0.25">
      <c r="A91" s="1"/>
      <c r="B91" s="1"/>
      <c r="C91" s="1"/>
      <c r="D91" s="1"/>
      <c r="E91" s="1"/>
      <c r="F91" s="3"/>
      <c r="G91" s="1"/>
      <c r="H91" s="1"/>
      <c r="I91" s="3"/>
      <c r="J91" s="1"/>
      <c r="P91" s="1"/>
      <c r="Q91" s="2"/>
      <c r="R91" s="1"/>
      <c r="S91" s="1"/>
      <c r="T91" s="3"/>
      <c r="U91" s="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2.75" customHeight="1" x14ac:dyDescent="0.25">
      <c r="A92" s="1"/>
      <c r="B92" s="1"/>
      <c r="C92" s="1"/>
      <c r="D92" s="1"/>
      <c r="E92" s="1"/>
      <c r="F92" s="3"/>
      <c r="G92" s="1"/>
      <c r="H92" s="1"/>
      <c r="I92" s="3"/>
      <c r="J92" s="1"/>
      <c r="P92" s="1"/>
      <c r="Q92" s="2"/>
      <c r="R92" s="1"/>
      <c r="S92" s="1"/>
      <c r="T92" s="3"/>
      <c r="U92" s="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2.75" customHeight="1" x14ac:dyDescent="0.25">
      <c r="A93" s="1"/>
      <c r="B93" s="1"/>
      <c r="C93" s="1"/>
      <c r="D93" s="1"/>
      <c r="E93" s="1"/>
      <c r="F93" s="3"/>
      <c r="G93" s="1"/>
      <c r="H93" s="1"/>
      <c r="I93" s="3"/>
      <c r="J93" s="1"/>
      <c r="P93" s="1"/>
      <c r="Q93" s="2"/>
      <c r="R93" s="1"/>
      <c r="S93" s="1"/>
      <c r="T93" s="3"/>
      <c r="U93" s="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2.75" customHeight="1" x14ac:dyDescent="0.25">
      <c r="A94" s="1"/>
      <c r="B94" s="1"/>
      <c r="C94" s="1"/>
      <c r="D94" s="1"/>
      <c r="E94" s="1"/>
      <c r="F94" s="3"/>
      <c r="G94" s="1"/>
      <c r="H94" s="1"/>
      <c r="I94" s="3"/>
      <c r="J94" s="1"/>
      <c r="P94" s="1"/>
      <c r="Q94" s="2"/>
      <c r="R94" s="1"/>
      <c r="S94" s="1"/>
      <c r="T94" s="3"/>
      <c r="U94" s="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2.75" customHeight="1" x14ac:dyDescent="0.25">
      <c r="A95" s="1"/>
      <c r="B95" s="1"/>
      <c r="C95" s="1"/>
      <c r="D95" s="1"/>
      <c r="E95" s="1"/>
      <c r="F95" s="3"/>
      <c r="G95" s="1"/>
      <c r="H95" s="1"/>
      <c r="I95" s="3"/>
      <c r="J95" s="1"/>
      <c r="P95" s="1"/>
      <c r="Q95" s="2"/>
      <c r="R95" s="1"/>
      <c r="S95" s="1"/>
      <c r="T95" s="3"/>
      <c r="U95" s="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2.75" customHeight="1" x14ac:dyDescent="0.25">
      <c r="A96" s="1"/>
      <c r="B96" s="1"/>
      <c r="C96" s="1"/>
      <c r="D96" s="1"/>
      <c r="E96" s="1"/>
      <c r="F96" s="3"/>
      <c r="G96" s="1"/>
      <c r="H96" s="1"/>
      <c r="I96" s="3"/>
      <c r="J96" s="1"/>
      <c r="P96" s="1"/>
      <c r="Q96" s="2"/>
      <c r="R96" s="1"/>
      <c r="S96" s="1"/>
      <c r="T96" s="3"/>
      <c r="U96" s="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2.75" customHeight="1" x14ac:dyDescent="0.25">
      <c r="A97" s="1"/>
      <c r="B97" s="1"/>
      <c r="C97" s="1"/>
      <c r="D97" s="1"/>
      <c r="E97" s="1"/>
      <c r="F97" s="3"/>
      <c r="G97" s="1"/>
      <c r="H97" s="1"/>
      <c r="I97" s="3"/>
      <c r="J97" s="1"/>
      <c r="P97" s="1"/>
      <c r="Q97" s="2"/>
      <c r="R97" s="1"/>
      <c r="S97" s="1"/>
      <c r="T97" s="3"/>
      <c r="U97" s="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2.75" customHeight="1" x14ac:dyDescent="0.25">
      <c r="A98" s="1"/>
      <c r="B98" s="1"/>
      <c r="C98" s="1"/>
      <c r="D98" s="1"/>
      <c r="E98" s="1"/>
      <c r="F98" s="3"/>
      <c r="G98" s="1"/>
      <c r="H98" s="1"/>
      <c r="I98" s="3"/>
      <c r="J98" s="1"/>
      <c r="P98" s="1"/>
      <c r="Q98" s="2"/>
      <c r="R98" s="1"/>
      <c r="S98" s="1"/>
      <c r="T98" s="3"/>
      <c r="U98" s="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2.75" customHeight="1" x14ac:dyDescent="0.25">
      <c r="A99" s="1"/>
      <c r="B99" s="1"/>
      <c r="C99" s="1"/>
      <c r="D99" s="1"/>
      <c r="E99" s="1"/>
      <c r="F99" s="3"/>
      <c r="G99" s="1"/>
      <c r="H99" s="1"/>
      <c r="I99" s="3"/>
      <c r="J99" s="1"/>
      <c r="P99" s="1"/>
      <c r="Q99" s="2"/>
      <c r="R99" s="1"/>
      <c r="S99" s="1"/>
      <c r="T99" s="3"/>
      <c r="U99" s="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2.75" customHeight="1" x14ac:dyDescent="0.25">
      <c r="A100" s="1"/>
      <c r="B100" s="1"/>
      <c r="C100" s="1"/>
      <c r="D100" s="1"/>
      <c r="E100" s="1"/>
      <c r="F100" s="3"/>
      <c r="G100" s="1"/>
      <c r="H100" s="1"/>
      <c r="I100" s="3"/>
      <c r="J100" s="1"/>
      <c r="P100" s="1"/>
      <c r="Q100" s="2"/>
      <c r="R100" s="1"/>
      <c r="S100" s="1"/>
      <c r="T100" s="3"/>
      <c r="U100" s="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2.75" customHeight="1" x14ac:dyDescent="0.25">
      <c r="A101" s="1"/>
      <c r="B101" s="1"/>
      <c r="C101" s="1"/>
      <c r="D101" s="1"/>
      <c r="E101" s="1"/>
      <c r="F101" s="3"/>
      <c r="G101" s="1"/>
      <c r="H101" s="1"/>
      <c r="I101" s="3"/>
      <c r="J101" s="1"/>
      <c r="P101" s="1"/>
      <c r="Q101" s="2"/>
      <c r="R101" s="1"/>
      <c r="S101" s="1"/>
      <c r="T101" s="3"/>
      <c r="U101" s="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2.75" customHeight="1" x14ac:dyDescent="0.25">
      <c r="A102" s="1"/>
      <c r="B102" s="1"/>
      <c r="C102" s="1"/>
      <c r="D102" s="1"/>
      <c r="E102" s="1"/>
      <c r="F102" s="3"/>
      <c r="G102" s="1"/>
      <c r="H102" s="1"/>
      <c r="I102" s="3"/>
      <c r="J102" s="1"/>
      <c r="P102" s="1"/>
      <c r="Q102" s="2"/>
      <c r="R102" s="1"/>
      <c r="S102" s="1"/>
      <c r="T102" s="3"/>
      <c r="U102" s="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2.75" customHeight="1" x14ac:dyDescent="0.25">
      <c r="A103" s="1"/>
      <c r="B103" s="1"/>
      <c r="C103" s="1"/>
      <c r="D103" s="1"/>
      <c r="E103" s="1"/>
      <c r="F103" s="3"/>
      <c r="G103" s="1"/>
      <c r="H103" s="1"/>
      <c r="I103" s="3"/>
      <c r="J103" s="1"/>
      <c r="P103" s="1"/>
      <c r="Q103" s="2"/>
      <c r="R103" s="1"/>
      <c r="S103" s="1"/>
      <c r="T103" s="3"/>
      <c r="U103" s="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2.75" customHeight="1" x14ac:dyDescent="0.25">
      <c r="A104" s="1"/>
      <c r="B104" s="1"/>
      <c r="C104" s="1"/>
      <c r="D104" s="1"/>
      <c r="E104" s="1"/>
      <c r="F104" s="3"/>
      <c r="G104" s="1"/>
      <c r="H104" s="1"/>
      <c r="I104" s="3"/>
      <c r="J104" s="1"/>
      <c r="P104" s="1"/>
      <c r="Q104" s="2"/>
      <c r="R104" s="1"/>
      <c r="S104" s="1"/>
      <c r="T104" s="3"/>
      <c r="U104" s="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2.75" customHeight="1" x14ac:dyDescent="0.25">
      <c r="A105" s="1"/>
      <c r="B105" s="1"/>
      <c r="C105" s="1"/>
      <c r="D105" s="1"/>
      <c r="E105" s="1"/>
      <c r="F105" s="3"/>
      <c r="G105" s="1"/>
      <c r="H105" s="1"/>
      <c r="I105" s="3"/>
      <c r="J105" s="1"/>
      <c r="P105" s="1"/>
      <c r="Q105" s="2"/>
      <c r="R105" s="1"/>
      <c r="S105" s="1"/>
      <c r="T105" s="3"/>
      <c r="U105" s="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2.75" customHeight="1" x14ac:dyDescent="0.25">
      <c r="A106" s="1"/>
      <c r="B106" s="1"/>
      <c r="C106" s="1"/>
      <c r="D106" s="1"/>
      <c r="E106" s="1"/>
      <c r="F106" s="3"/>
      <c r="G106" s="1"/>
      <c r="H106" s="1"/>
      <c r="I106" s="3"/>
      <c r="J106" s="1"/>
      <c r="P106" s="1"/>
      <c r="Q106" s="2"/>
      <c r="R106" s="1"/>
      <c r="S106" s="1"/>
      <c r="T106" s="3"/>
      <c r="U106" s="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2.75" customHeight="1" x14ac:dyDescent="0.25">
      <c r="A107" s="1"/>
      <c r="B107" s="1"/>
      <c r="C107" s="1"/>
      <c r="D107" s="1"/>
      <c r="E107" s="1"/>
      <c r="F107" s="3"/>
      <c r="G107" s="1"/>
      <c r="H107" s="1"/>
      <c r="I107" s="3"/>
      <c r="J107" s="1"/>
      <c r="P107" s="1"/>
      <c r="Q107" s="2"/>
      <c r="R107" s="1"/>
      <c r="S107" s="1"/>
      <c r="T107" s="3"/>
      <c r="U107" s="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2.75" customHeight="1" x14ac:dyDescent="0.25">
      <c r="A108" s="1"/>
      <c r="B108" s="1"/>
      <c r="C108" s="1"/>
      <c r="D108" s="1"/>
      <c r="E108" s="1"/>
      <c r="F108" s="3"/>
      <c r="G108" s="1"/>
      <c r="H108" s="1"/>
      <c r="I108" s="3"/>
      <c r="J108" s="1"/>
      <c r="P108" s="1"/>
      <c r="Q108" s="2"/>
      <c r="R108" s="1"/>
      <c r="S108" s="1"/>
      <c r="T108" s="3"/>
      <c r="U108" s="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2.75" customHeight="1" x14ac:dyDescent="0.25">
      <c r="A109" s="1"/>
      <c r="B109" s="1"/>
      <c r="C109" s="1"/>
      <c r="D109" s="1"/>
      <c r="E109" s="1"/>
      <c r="F109" s="3"/>
      <c r="G109" s="1"/>
      <c r="H109" s="1"/>
      <c r="I109" s="3"/>
      <c r="J109" s="1"/>
      <c r="P109" s="1"/>
      <c r="Q109" s="2"/>
      <c r="R109" s="1"/>
      <c r="S109" s="1"/>
      <c r="T109" s="3"/>
      <c r="U109" s="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2.75" customHeight="1" x14ac:dyDescent="0.25">
      <c r="A110" s="1"/>
      <c r="B110" s="1"/>
      <c r="C110" s="1"/>
      <c r="D110" s="1"/>
      <c r="E110" s="1"/>
      <c r="F110" s="3"/>
      <c r="G110" s="1"/>
      <c r="H110" s="1"/>
      <c r="I110" s="3"/>
      <c r="J110" s="1"/>
      <c r="P110" s="1"/>
      <c r="Q110" s="2"/>
      <c r="R110" s="1"/>
      <c r="S110" s="1"/>
      <c r="T110" s="3"/>
      <c r="U110" s="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2.75" customHeight="1" x14ac:dyDescent="0.25">
      <c r="A111" s="1"/>
      <c r="B111" s="1"/>
      <c r="C111" s="1"/>
      <c r="D111" s="1"/>
      <c r="E111" s="1"/>
      <c r="F111" s="3"/>
      <c r="G111" s="1"/>
      <c r="H111" s="1"/>
      <c r="I111" s="3"/>
      <c r="J111" s="1"/>
      <c r="P111" s="1"/>
      <c r="Q111" s="2"/>
      <c r="R111" s="1"/>
      <c r="S111" s="1"/>
      <c r="T111" s="3"/>
      <c r="U111" s="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2.75" customHeight="1" x14ac:dyDescent="0.25">
      <c r="A112" s="1"/>
      <c r="B112" s="1"/>
      <c r="C112" s="1"/>
      <c r="D112" s="1"/>
      <c r="E112" s="1"/>
      <c r="F112" s="3"/>
      <c r="G112" s="1"/>
      <c r="H112" s="1"/>
      <c r="I112" s="3"/>
      <c r="J112" s="1"/>
      <c r="P112" s="1"/>
      <c r="Q112" s="2"/>
      <c r="R112" s="1"/>
      <c r="S112" s="1"/>
      <c r="T112" s="3"/>
      <c r="U112" s="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2.75" customHeight="1" x14ac:dyDescent="0.25">
      <c r="A113" s="1"/>
      <c r="B113" s="1"/>
      <c r="C113" s="1"/>
      <c r="D113" s="1"/>
      <c r="E113" s="1"/>
      <c r="F113" s="3"/>
      <c r="G113" s="1"/>
      <c r="H113" s="1"/>
      <c r="I113" s="3"/>
      <c r="J113" s="1"/>
      <c r="P113" s="1"/>
      <c r="Q113" s="2"/>
      <c r="R113" s="1"/>
      <c r="S113" s="1"/>
      <c r="T113" s="3"/>
      <c r="U113" s="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2.75" customHeight="1" x14ac:dyDescent="0.25">
      <c r="A114" s="1"/>
      <c r="B114" s="1"/>
      <c r="C114" s="1"/>
      <c r="D114" s="1"/>
      <c r="E114" s="1"/>
      <c r="F114" s="3"/>
      <c r="G114" s="1"/>
      <c r="H114" s="1"/>
      <c r="I114" s="3"/>
      <c r="J114" s="1"/>
      <c r="P114" s="1"/>
      <c r="Q114" s="2"/>
      <c r="R114" s="1"/>
      <c r="S114" s="1"/>
      <c r="T114" s="3"/>
      <c r="U114" s="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2.75" customHeight="1" x14ac:dyDescent="0.25">
      <c r="A115" s="1"/>
      <c r="B115" s="1"/>
      <c r="C115" s="1"/>
      <c r="D115" s="1"/>
      <c r="E115" s="1"/>
      <c r="F115" s="3"/>
      <c r="G115" s="1"/>
      <c r="H115" s="1"/>
      <c r="I115" s="3"/>
      <c r="J115" s="1"/>
      <c r="P115" s="1"/>
      <c r="Q115" s="2"/>
      <c r="R115" s="1"/>
      <c r="S115" s="1"/>
      <c r="T115" s="3"/>
      <c r="U115" s="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2.75" customHeight="1" x14ac:dyDescent="0.25">
      <c r="A116" s="1"/>
      <c r="B116" s="1"/>
      <c r="C116" s="1"/>
      <c r="D116" s="1"/>
      <c r="E116" s="1"/>
      <c r="F116" s="3"/>
      <c r="G116" s="1"/>
      <c r="H116" s="1"/>
      <c r="I116" s="3"/>
      <c r="J116" s="1"/>
      <c r="P116" s="1"/>
      <c r="Q116" s="2"/>
      <c r="R116" s="1"/>
      <c r="S116" s="1"/>
      <c r="T116" s="3"/>
      <c r="U116" s="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2.75" customHeight="1" x14ac:dyDescent="0.25">
      <c r="A117" s="1"/>
      <c r="B117" s="1"/>
      <c r="C117" s="1"/>
      <c r="D117" s="1"/>
      <c r="E117" s="1"/>
      <c r="F117" s="3"/>
      <c r="G117" s="1"/>
      <c r="H117" s="1"/>
      <c r="I117" s="3"/>
      <c r="J117" s="1"/>
      <c r="P117" s="1"/>
      <c r="Q117" s="2"/>
      <c r="R117" s="1"/>
      <c r="S117" s="1"/>
      <c r="T117" s="3"/>
      <c r="U117" s="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2.75" customHeight="1" x14ac:dyDescent="0.25">
      <c r="A118" s="1"/>
      <c r="B118" s="1"/>
      <c r="C118" s="1"/>
      <c r="D118" s="1"/>
      <c r="E118" s="1"/>
      <c r="F118" s="3"/>
      <c r="G118" s="1"/>
      <c r="H118" s="1"/>
      <c r="I118" s="3"/>
      <c r="J118" s="1"/>
      <c r="P118" s="1"/>
      <c r="Q118" s="2"/>
      <c r="R118" s="1"/>
      <c r="S118" s="1"/>
      <c r="T118" s="3"/>
      <c r="U118" s="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2.75" customHeight="1" x14ac:dyDescent="0.25">
      <c r="A119" s="1"/>
      <c r="B119" s="1"/>
      <c r="C119" s="1"/>
      <c r="D119" s="1"/>
      <c r="E119" s="1"/>
      <c r="F119" s="3"/>
      <c r="G119" s="1"/>
      <c r="H119" s="1"/>
      <c r="I119" s="3"/>
      <c r="J119" s="1"/>
      <c r="P119" s="1"/>
      <c r="Q119" s="2"/>
      <c r="R119" s="1"/>
      <c r="S119" s="1"/>
      <c r="T119" s="3"/>
      <c r="U119" s="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2.75" customHeight="1" x14ac:dyDescent="0.25">
      <c r="A120" s="1"/>
      <c r="B120" s="1"/>
      <c r="C120" s="1"/>
      <c r="D120" s="1"/>
      <c r="E120" s="1"/>
      <c r="F120" s="3"/>
      <c r="G120" s="1"/>
      <c r="H120" s="1"/>
      <c r="I120" s="3"/>
      <c r="J120" s="1"/>
      <c r="P120" s="1"/>
      <c r="Q120" s="2"/>
      <c r="R120" s="1"/>
      <c r="S120" s="1"/>
      <c r="T120" s="3"/>
      <c r="U120" s="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2.75" customHeight="1" x14ac:dyDescent="0.25">
      <c r="A121" s="1"/>
      <c r="B121" s="1"/>
      <c r="C121" s="1"/>
      <c r="D121" s="1"/>
      <c r="E121" s="1"/>
      <c r="F121" s="3"/>
      <c r="G121" s="1"/>
      <c r="H121" s="1"/>
      <c r="I121" s="3"/>
      <c r="J121" s="1"/>
      <c r="P121" s="1"/>
      <c r="Q121" s="2"/>
      <c r="R121" s="1"/>
      <c r="S121" s="1"/>
      <c r="T121" s="3"/>
      <c r="U121" s="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2.75" customHeight="1" x14ac:dyDescent="0.25">
      <c r="A122" s="1"/>
      <c r="B122" s="1"/>
      <c r="C122" s="1"/>
      <c r="D122" s="1"/>
      <c r="E122" s="1"/>
      <c r="F122" s="3"/>
      <c r="G122" s="1"/>
      <c r="H122" s="1"/>
      <c r="I122" s="3"/>
      <c r="J122" s="1"/>
      <c r="P122" s="1"/>
      <c r="Q122" s="2"/>
      <c r="R122" s="1"/>
      <c r="S122" s="1"/>
      <c r="T122" s="3"/>
      <c r="U122" s="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2.75" customHeight="1" x14ac:dyDescent="0.25">
      <c r="A123" s="1"/>
      <c r="B123" s="1"/>
      <c r="C123" s="1"/>
      <c r="D123" s="1"/>
      <c r="E123" s="1"/>
      <c r="F123" s="3"/>
      <c r="G123" s="1"/>
      <c r="H123" s="1"/>
      <c r="I123" s="3"/>
      <c r="J123" s="1"/>
      <c r="P123" s="1"/>
      <c r="Q123" s="2"/>
      <c r="R123" s="1"/>
      <c r="S123" s="1"/>
      <c r="T123" s="3"/>
      <c r="U123" s="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2.75" customHeight="1" x14ac:dyDescent="0.25">
      <c r="A124" s="1"/>
      <c r="B124" s="1"/>
      <c r="C124" s="1"/>
      <c r="D124" s="1"/>
      <c r="E124" s="1"/>
      <c r="F124" s="3"/>
      <c r="G124" s="1"/>
      <c r="H124" s="1"/>
      <c r="I124" s="3"/>
      <c r="J124" s="1"/>
      <c r="P124" s="1"/>
      <c r="Q124" s="2"/>
      <c r="R124" s="1"/>
      <c r="S124" s="1"/>
      <c r="T124" s="3"/>
      <c r="U124" s="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2.75" customHeight="1" x14ac:dyDescent="0.25">
      <c r="A125" s="1"/>
      <c r="B125" s="1"/>
      <c r="C125" s="1"/>
      <c r="D125" s="1"/>
      <c r="E125" s="1"/>
      <c r="F125" s="3"/>
      <c r="G125" s="1"/>
      <c r="H125" s="1"/>
      <c r="I125" s="3"/>
      <c r="J125" s="1"/>
      <c r="P125" s="1"/>
      <c r="Q125" s="2"/>
      <c r="R125" s="1"/>
      <c r="S125" s="1"/>
      <c r="T125" s="3"/>
      <c r="U125" s="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2.75" customHeight="1" x14ac:dyDescent="0.25">
      <c r="A126" s="1"/>
      <c r="B126" s="1"/>
      <c r="C126" s="1"/>
      <c r="D126" s="1"/>
      <c r="E126" s="1"/>
      <c r="F126" s="3"/>
      <c r="G126" s="1"/>
      <c r="H126" s="1"/>
      <c r="I126" s="3"/>
      <c r="J126" s="1"/>
      <c r="P126" s="1"/>
      <c r="Q126" s="2"/>
      <c r="R126" s="1"/>
      <c r="S126" s="1"/>
      <c r="T126" s="3"/>
      <c r="U126" s="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2.75" customHeight="1" x14ac:dyDescent="0.25">
      <c r="A127" s="1"/>
      <c r="B127" s="1"/>
      <c r="C127" s="1"/>
      <c r="D127" s="1"/>
      <c r="E127" s="1"/>
      <c r="F127" s="3"/>
      <c r="G127" s="1"/>
      <c r="H127" s="1"/>
      <c r="I127" s="3"/>
      <c r="J127" s="1"/>
      <c r="P127" s="1"/>
      <c r="Q127" s="2"/>
      <c r="R127" s="1"/>
      <c r="S127" s="1"/>
      <c r="T127" s="3"/>
      <c r="U127" s="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2.75" customHeight="1" x14ac:dyDescent="0.25">
      <c r="A128" s="1"/>
      <c r="B128" s="1"/>
      <c r="C128" s="1"/>
      <c r="D128" s="1"/>
      <c r="E128" s="1"/>
      <c r="F128" s="3"/>
      <c r="G128" s="1"/>
      <c r="H128" s="1"/>
      <c r="I128" s="3"/>
      <c r="J128" s="1"/>
      <c r="P128" s="1"/>
      <c r="Q128" s="2"/>
      <c r="R128" s="1"/>
      <c r="S128" s="1"/>
      <c r="T128" s="3"/>
      <c r="U128" s="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2.75" customHeight="1" x14ac:dyDescent="0.25">
      <c r="A129" s="1"/>
      <c r="B129" s="1"/>
      <c r="C129" s="1"/>
      <c r="D129" s="1"/>
      <c r="E129" s="1"/>
      <c r="F129" s="3"/>
      <c r="G129" s="1"/>
      <c r="H129" s="1"/>
      <c r="I129" s="3"/>
      <c r="J129" s="1"/>
      <c r="P129" s="1"/>
      <c r="Q129" s="2"/>
      <c r="R129" s="1"/>
      <c r="S129" s="1"/>
      <c r="T129" s="3"/>
      <c r="U129" s="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2.75" customHeight="1" x14ac:dyDescent="0.25">
      <c r="A130" s="1"/>
      <c r="B130" s="1"/>
      <c r="C130" s="1"/>
      <c r="D130" s="1"/>
      <c r="E130" s="1"/>
      <c r="F130" s="3"/>
      <c r="G130" s="1"/>
      <c r="H130" s="1"/>
      <c r="I130" s="3"/>
      <c r="J130" s="1"/>
      <c r="P130" s="1"/>
      <c r="Q130" s="2"/>
      <c r="R130" s="1"/>
      <c r="S130" s="1"/>
      <c r="T130" s="3"/>
      <c r="U130" s="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2.75" customHeight="1" x14ac:dyDescent="0.25">
      <c r="A131" s="1"/>
      <c r="B131" s="1"/>
      <c r="C131" s="1"/>
      <c r="D131" s="1"/>
      <c r="E131" s="1"/>
      <c r="F131" s="3"/>
      <c r="G131" s="1"/>
      <c r="H131" s="1"/>
      <c r="I131" s="3"/>
      <c r="J131" s="1"/>
      <c r="P131" s="1"/>
      <c r="Q131" s="2"/>
      <c r="R131" s="1"/>
      <c r="S131" s="1"/>
      <c r="T131" s="3"/>
      <c r="U131" s="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 x14ac:dyDescent="0.25">
      <c r="A132" s="1"/>
      <c r="B132" s="1"/>
      <c r="C132" s="1"/>
      <c r="D132" s="1"/>
      <c r="E132" s="1"/>
      <c r="F132" s="3"/>
      <c r="G132" s="1"/>
      <c r="H132" s="1"/>
      <c r="I132" s="3"/>
      <c r="J132" s="1"/>
      <c r="P132" s="1"/>
      <c r="Q132" s="2"/>
      <c r="R132" s="1"/>
      <c r="S132" s="1"/>
      <c r="T132" s="3"/>
      <c r="U132" s="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 x14ac:dyDescent="0.25">
      <c r="A133" s="1"/>
      <c r="B133" s="1"/>
      <c r="C133" s="1"/>
      <c r="D133" s="1"/>
      <c r="E133" s="1"/>
      <c r="F133" s="3"/>
      <c r="G133" s="1"/>
      <c r="H133" s="1"/>
      <c r="I133" s="3"/>
      <c r="J133" s="1"/>
      <c r="P133" s="1"/>
      <c r="Q133" s="2"/>
      <c r="R133" s="1"/>
      <c r="S133" s="1"/>
      <c r="T133" s="3"/>
      <c r="U133" s="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 x14ac:dyDescent="0.25">
      <c r="A134" s="1"/>
      <c r="B134" s="1"/>
      <c r="C134" s="1"/>
      <c r="D134" s="1"/>
      <c r="E134" s="1"/>
      <c r="F134" s="3"/>
      <c r="G134" s="1"/>
      <c r="H134" s="1"/>
      <c r="I134" s="3"/>
      <c r="J134" s="1"/>
      <c r="P134" s="1"/>
      <c r="Q134" s="2"/>
      <c r="R134" s="1"/>
      <c r="S134" s="1"/>
      <c r="T134" s="3"/>
      <c r="U134" s="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 x14ac:dyDescent="0.25">
      <c r="A135" s="1"/>
      <c r="B135" s="1"/>
      <c r="C135" s="1"/>
      <c r="D135" s="1"/>
      <c r="E135" s="1"/>
      <c r="F135" s="3"/>
      <c r="G135" s="1"/>
      <c r="H135" s="1"/>
      <c r="I135" s="3"/>
      <c r="J135" s="1"/>
      <c r="P135" s="1"/>
      <c r="Q135" s="2"/>
      <c r="R135" s="1"/>
      <c r="S135" s="1"/>
      <c r="T135" s="3"/>
      <c r="U135" s="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 x14ac:dyDescent="0.25">
      <c r="A136" s="1"/>
      <c r="B136" s="1"/>
      <c r="C136" s="1"/>
      <c r="D136" s="1"/>
      <c r="E136" s="1"/>
      <c r="F136" s="3"/>
      <c r="G136" s="1"/>
      <c r="H136" s="1"/>
      <c r="I136" s="3"/>
      <c r="J136" s="1"/>
      <c r="P136" s="1"/>
      <c r="Q136" s="2"/>
      <c r="R136" s="1"/>
      <c r="S136" s="1"/>
      <c r="T136" s="3"/>
      <c r="U136" s="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 x14ac:dyDescent="0.25">
      <c r="A137" s="1"/>
      <c r="B137" s="1"/>
      <c r="C137" s="1"/>
      <c r="D137" s="1"/>
      <c r="E137" s="1"/>
      <c r="F137" s="3"/>
      <c r="G137" s="1"/>
      <c r="H137" s="1"/>
      <c r="I137" s="3"/>
      <c r="J137" s="1"/>
      <c r="P137" s="1"/>
      <c r="Q137" s="2"/>
      <c r="R137" s="1"/>
      <c r="S137" s="1"/>
      <c r="T137" s="3"/>
      <c r="U137" s="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 x14ac:dyDescent="0.25">
      <c r="A138" s="1"/>
      <c r="B138" s="1"/>
      <c r="C138" s="1"/>
      <c r="D138" s="1"/>
      <c r="E138" s="1"/>
      <c r="F138" s="3"/>
      <c r="G138" s="1"/>
      <c r="H138" s="1"/>
      <c r="I138" s="3"/>
      <c r="J138" s="1"/>
      <c r="P138" s="1"/>
      <c r="Q138" s="2"/>
      <c r="R138" s="1"/>
      <c r="S138" s="1"/>
      <c r="T138" s="3"/>
      <c r="U138" s="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 x14ac:dyDescent="0.25">
      <c r="A139" s="1"/>
      <c r="B139" s="1"/>
      <c r="C139" s="1"/>
      <c r="D139" s="1"/>
      <c r="E139" s="1"/>
      <c r="F139" s="3"/>
      <c r="G139" s="1"/>
      <c r="H139" s="1"/>
      <c r="I139" s="3"/>
      <c r="J139" s="1"/>
      <c r="P139" s="1"/>
      <c r="Q139" s="2"/>
      <c r="R139" s="1"/>
      <c r="S139" s="1"/>
      <c r="T139" s="3"/>
      <c r="U139" s="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 x14ac:dyDescent="0.25">
      <c r="A140" s="1"/>
      <c r="B140" s="1"/>
      <c r="C140" s="1"/>
      <c r="D140" s="1"/>
      <c r="E140" s="1"/>
      <c r="F140" s="3"/>
      <c r="G140" s="1"/>
      <c r="H140" s="1"/>
      <c r="I140" s="3"/>
      <c r="J140" s="1"/>
      <c r="P140" s="1"/>
      <c r="Q140" s="2"/>
      <c r="R140" s="1"/>
      <c r="S140" s="1"/>
      <c r="T140" s="3"/>
      <c r="U140" s="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 x14ac:dyDescent="0.25">
      <c r="A141" s="1"/>
      <c r="B141" s="1"/>
      <c r="C141" s="1"/>
      <c r="D141" s="1"/>
      <c r="E141" s="1"/>
      <c r="F141" s="3"/>
      <c r="G141" s="1"/>
      <c r="H141" s="1"/>
      <c r="I141" s="3"/>
      <c r="J141" s="1"/>
      <c r="P141" s="1"/>
      <c r="Q141" s="2"/>
      <c r="R141" s="1"/>
      <c r="S141" s="1"/>
      <c r="T141" s="3"/>
      <c r="U141" s="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 x14ac:dyDescent="0.25">
      <c r="A142" s="1"/>
      <c r="B142" s="1"/>
      <c r="C142" s="1"/>
      <c r="D142" s="1"/>
      <c r="E142" s="1"/>
      <c r="F142" s="3"/>
      <c r="G142" s="1"/>
      <c r="H142" s="1"/>
      <c r="I142" s="3"/>
      <c r="J142" s="1"/>
      <c r="P142" s="1"/>
      <c r="Q142" s="2"/>
      <c r="R142" s="1"/>
      <c r="S142" s="1"/>
      <c r="T142" s="3"/>
      <c r="U142" s="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 x14ac:dyDescent="0.25">
      <c r="A143" s="1"/>
      <c r="B143" s="1"/>
      <c r="C143" s="1"/>
      <c r="D143" s="1"/>
      <c r="E143" s="1"/>
      <c r="F143" s="3"/>
      <c r="G143" s="1"/>
      <c r="H143" s="1"/>
      <c r="I143" s="3"/>
      <c r="J143" s="1"/>
      <c r="P143" s="1"/>
      <c r="Q143" s="2"/>
      <c r="R143" s="1"/>
      <c r="S143" s="1"/>
      <c r="T143" s="3"/>
      <c r="U143" s="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 x14ac:dyDescent="0.25">
      <c r="A144" s="1"/>
      <c r="B144" s="1"/>
      <c r="C144" s="1"/>
      <c r="D144" s="1"/>
      <c r="E144" s="1"/>
      <c r="F144" s="3"/>
      <c r="G144" s="1"/>
      <c r="H144" s="1"/>
      <c r="I144" s="3"/>
      <c r="J144" s="1"/>
      <c r="P144" s="1"/>
      <c r="Q144" s="2"/>
      <c r="R144" s="1"/>
      <c r="S144" s="1"/>
      <c r="T144" s="3"/>
      <c r="U144" s="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 x14ac:dyDescent="0.25">
      <c r="A145" s="1"/>
      <c r="B145" s="1"/>
      <c r="C145" s="1"/>
      <c r="D145" s="1"/>
      <c r="E145" s="1"/>
      <c r="F145" s="3"/>
      <c r="G145" s="1"/>
      <c r="H145" s="1"/>
      <c r="I145" s="3"/>
      <c r="J145" s="1"/>
      <c r="P145" s="1"/>
      <c r="Q145" s="2"/>
      <c r="R145" s="1"/>
      <c r="S145" s="1"/>
      <c r="T145" s="3"/>
      <c r="U145" s="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 x14ac:dyDescent="0.25">
      <c r="A146" s="1"/>
      <c r="B146" s="1"/>
      <c r="C146" s="1"/>
      <c r="D146" s="1"/>
      <c r="E146" s="1"/>
      <c r="F146" s="3"/>
      <c r="G146" s="1"/>
      <c r="H146" s="1"/>
      <c r="I146" s="3"/>
      <c r="J146" s="1"/>
      <c r="P146" s="1"/>
      <c r="Q146" s="2"/>
      <c r="R146" s="1"/>
      <c r="S146" s="1"/>
      <c r="T146" s="3"/>
      <c r="U146" s="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 x14ac:dyDescent="0.25">
      <c r="A147" s="1"/>
      <c r="B147" s="1"/>
      <c r="C147" s="1"/>
      <c r="D147" s="1"/>
      <c r="E147" s="1"/>
      <c r="F147" s="3"/>
      <c r="G147" s="1"/>
      <c r="H147" s="1"/>
      <c r="I147" s="3"/>
      <c r="J147" s="1"/>
      <c r="P147" s="1"/>
      <c r="Q147" s="2"/>
      <c r="R147" s="1"/>
      <c r="S147" s="1"/>
      <c r="T147" s="3"/>
      <c r="U147" s="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 x14ac:dyDescent="0.25">
      <c r="A148" s="1"/>
      <c r="B148" s="1"/>
      <c r="C148" s="1"/>
      <c r="D148" s="1"/>
      <c r="E148" s="1"/>
      <c r="F148" s="3"/>
      <c r="G148" s="1"/>
      <c r="H148" s="1"/>
      <c r="I148" s="3"/>
      <c r="J148" s="1"/>
      <c r="P148" s="1"/>
      <c r="Q148" s="2"/>
      <c r="R148" s="1"/>
      <c r="S148" s="1"/>
      <c r="T148" s="3"/>
      <c r="U148" s="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 x14ac:dyDescent="0.25">
      <c r="A149" s="1"/>
      <c r="B149" s="1"/>
      <c r="C149" s="1"/>
      <c r="D149" s="1"/>
      <c r="E149" s="1"/>
      <c r="F149" s="3"/>
      <c r="G149" s="1"/>
      <c r="H149" s="1"/>
      <c r="I149" s="3"/>
      <c r="J149" s="1"/>
      <c r="P149" s="1"/>
      <c r="Q149" s="2"/>
      <c r="R149" s="1"/>
      <c r="S149" s="1"/>
      <c r="T149" s="3"/>
      <c r="U149" s="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 x14ac:dyDescent="0.25">
      <c r="A150" s="1"/>
      <c r="B150" s="1"/>
      <c r="C150" s="1"/>
      <c r="D150" s="1"/>
      <c r="E150" s="1"/>
      <c r="F150" s="3"/>
      <c r="G150" s="1"/>
      <c r="H150" s="1"/>
      <c r="I150" s="3"/>
      <c r="J150" s="1"/>
      <c r="P150" s="1"/>
      <c r="Q150" s="2"/>
      <c r="R150" s="1"/>
      <c r="S150" s="1"/>
      <c r="T150" s="3"/>
      <c r="U150" s="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 x14ac:dyDescent="0.25">
      <c r="A151" s="1"/>
      <c r="B151" s="1"/>
      <c r="C151" s="1"/>
      <c r="D151" s="1"/>
      <c r="E151" s="1"/>
      <c r="F151" s="3"/>
      <c r="G151" s="1"/>
      <c r="H151" s="1"/>
      <c r="I151" s="3"/>
      <c r="J151" s="1"/>
      <c r="P151" s="1"/>
      <c r="Q151" s="2"/>
      <c r="R151" s="1"/>
      <c r="S151" s="1"/>
      <c r="T151" s="3"/>
      <c r="U151" s="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 x14ac:dyDescent="0.25">
      <c r="A152" s="1"/>
      <c r="B152" s="1"/>
      <c r="C152" s="1"/>
      <c r="D152" s="1"/>
      <c r="E152" s="1"/>
      <c r="F152" s="3"/>
      <c r="G152" s="1"/>
      <c r="H152" s="1"/>
      <c r="I152" s="3"/>
      <c r="J152" s="1"/>
      <c r="P152" s="1"/>
      <c r="Q152" s="2"/>
      <c r="R152" s="1"/>
      <c r="S152" s="1"/>
      <c r="T152" s="3"/>
      <c r="U152" s="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 x14ac:dyDescent="0.25">
      <c r="A153" s="1"/>
      <c r="B153" s="1"/>
      <c r="C153" s="1"/>
      <c r="D153" s="1"/>
      <c r="E153" s="1"/>
      <c r="F153" s="3"/>
      <c r="G153" s="1"/>
      <c r="H153" s="1"/>
      <c r="I153" s="3"/>
      <c r="J153" s="1"/>
      <c r="P153" s="1"/>
      <c r="Q153" s="2"/>
      <c r="R153" s="1"/>
      <c r="S153" s="1"/>
      <c r="T153" s="3"/>
      <c r="U153" s="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 x14ac:dyDescent="0.25">
      <c r="A154" s="1"/>
      <c r="B154" s="1"/>
      <c r="C154" s="1"/>
      <c r="D154" s="1"/>
      <c r="E154" s="1"/>
      <c r="F154" s="3"/>
      <c r="G154" s="1"/>
      <c r="H154" s="1"/>
      <c r="I154" s="3"/>
      <c r="J154" s="1"/>
      <c r="P154" s="1"/>
      <c r="Q154" s="2"/>
      <c r="R154" s="1"/>
      <c r="S154" s="1"/>
      <c r="T154" s="3"/>
      <c r="U154" s="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 x14ac:dyDescent="0.25">
      <c r="A155" s="1"/>
      <c r="B155" s="1"/>
      <c r="C155" s="1"/>
      <c r="D155" s="1"/>
      <c r="E155" s="1"/>
      <c r="F155" s="3"/>
      <c r="G155" s="1"/>
      <c r="H155" s="1"/>
      <c r="I155" s="3"/>
      <c r="J155" s="1"/>
      <c r="P155" s="1"/>
      <c r="Q155" s="2"/>
      <c r="R155" s="1"/>
      <c r="S155" s="1"/>
      <c r="T155" s="3"/>
      <c r="U155" s="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 x14ac:dyDescent="0.25">
      <c r="A156" s="1"/>
      <c r="B156" s="1"/>
      <c r="C156" s="1"/>
      <c r="D156" s="1"/>
      <c r="E156" s="1"/>
      <c r="F156" s="3"/>
      <c r="G156" s="1"/>
      <c r="H156" s="1"/>
      <c r="I156" s="3"/>
      <c r="J156" s="1"/>
      <c r="P156" s="1"/>
      <c r="Q156" s="2"/>
      <c r="R156" s="1"/>
      <c r="S156" s="1"/>
      <c r="T156" s="3"/>
      <c r="U156" s="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 x14ac:dyDescent="0.25">
      <c r="A157" s="1"/>
      <c r="B157" s="1"/>
      <c r="C157" s="1"/>
      <c r="D157" s="1"/>
      <c r="E157" s="1"/>
      <c r="F157" s="3"/>
      <c r="G157" s="1"/>
      <c r="H157" s="1"/>
      <c r="I157" s="3"/>
      <c r="J157" s="1"/>
      <c r="P157" s="1"/>
      <c r="Q157" s="2"/>
      <c r="R157" s="1"/>
      <c r="S157" s="1"/>
      <c r="T157" s="3"/>
      <c r="U157" s="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 x14ac:dyDescent="0.25">
      <c r="A158" s="1"/>
      <c r="B158" s="1"/>
      <c r="C158" s="1"/>
      <c r="D158" s="1"/>
      <c r="E158" s="1"/>
      <c r="F158" s="3"/>
      <c r="G158" s="1"/>
      <c r="H158" s="1"/>
      <c r="I158" s="3"/>
      <c r="J158" s="1"/>
      <c r="P158" s="1"/>
      <c r="Q158" s="2"/>
      <c r="R158" s="1"/>
      <c r="S158" s="1"/>
      <c r="T158" s="3"/>
      <c r="U158" s="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 x14ac:dyDescent="0.25">
      <c r="A159" s="1"/>
      <c r="B159" s="1"/>
      <c r="C159" s="1"/>
      <c r="D159" s="1"/>
      <c r="E159" s="1"/>
      <c r="F159" s="3"/>
      <c r="G159" s="1"/>
      <c r="H159" s="1"/>
      <c r="I159" s="3"/>
      <c r="J159" s="1"/>
      <c r="P159" s="1"/>
      <c r="Q159" s="2"/>
      <c r="R159" s="1"/>
      <c r="S159" s="1"/>
      <c r="T159" s="3"/>
      <c r="U159" s="3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 x14ac:dyDescent="0.25">
      <c r="A160" s="1"/>
      <c r="B160" s="1"/>
      <c r="C160" s="1"/>
      <c r="D160" s="1"/>
      <c r="E160" s="1"/>
      <c r="F160" s="3"/>
      <c r="G160" s="1"/>
      <c r="H160" s="1"/>
      <c r="I160" s="3"/>
      <c r="J160" s="1"/>
      <c r="P160" s="1"/>
      <c r="Q160" s="2"/>
      <c r="R160" s="1"/>
      <c r="S160" s="1"/>
      <c r="T160" s="3"/>
      <c r="U160" s="3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 x14ac:dyDescent="0.25">
      <c r="A161" s="1"/>
      <c r="B161" s="1"/>
      <c r="C161" s="1"/>
      <c r="D161" s="1"/>
      <c r="E161" s="1"/>
      <c r="F161" s="3"/>
      <c r="G161" s="1"/>
      <c r="H161" s="1"/>
      <c r="I161" s="3"/>
      <c r="J161" s="1"/>
      <c r="P161" s="1"/>
      <c r="Q161" s="2"/>
      <c r="R161" s="1"/>
      <c r="S161" s="1"/>
      <c r="T161" s="3"/>
      <c r="U161" s="3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 x14ac:dyDescent="0.25">
      <c r="A162" s="1"/>
      <c r="B162" s="1"/>
      <c r="C162" s="1"/>
      <c r="D162" s="1"/>
      <c r="E162" s="1"/>
      <c r="F162" s="3"/>
      <c r="G162" s="1"/>
      <c r="H162" s="1"/>
      <c r="I162" s="3"/>
      <c r="J162" s="1"/>
      <c r="P162" s="1"/>
      <c r="Q162" s="2"/>
      <c r="R162" s="1"/>
      <c r="S162" s="1"/>
      <c r="T162" s="3"/>
      <c r="U162" s="3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 x14ac:dyDescent="0.25">
      <c r="A163" s="1"/>
      <c r="B163" s="1"/>
      <c r="C163" s="1"/>
      <c r="D163" s="1"/>
      <c r="E163" s="1"/>
      <c r="F163" s="3"/>
      <c r="G163" s="1"/>
      <c r="H163" s="1"/>
      <c r="I163" s="3"/>
      <c r="J163" s="1"/>
      <c r="P163" s="1"/>
      <c r="Q163" s="2"/>
      <c r="R163" s="1"/>
      <c r="S163" s="1"/>
      <c r="T163" s="3"/>
      <c r="U163" s="3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 x14ac:dyDescent="0.25">
      <c r="A164" s="1"/>
      <c r="B164" s="1"/>
      <c r="C164" s="1"/>
      <c r="D164" s="1"/>
      <c r="E164" s="1"/>
      <c r="F164" s="3"/>
      <c r="G164" s="1"/>
      <c r="H164" s="1"/>
      <c r="I164" s="3"/>
      <c r="J164" s="1"/>
      <c r="P164" s="1"/>
      <c r="Q164" s="2"/>
      <c r="R164" s="1"/>
      <c r="S164" s="1"/>
      <c r="T164" s="3"/>
      <c r="U164" s="3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 x14ac:dyDescent="0.25">
      <c r="A165" s="1"/>
      <c r="B165" s="1"/>
      <c r="C165" s="1"/>
      <c r="D165" s="1"/>
      <c r="E165" s="1"/>
      <c r="F165" s="3"/>
      <c r="G165" s="1"/>
      <c r="H165" s="1"/>
      <c r="I165" s="3"/>
      <c r="J165" s="1"/>
      <c r="P165" s="1"/>
      <c r="Q165" s="2"/>
      <c r="R165" s="1"/>
      <c r="S165" s="1"/>
      <c r="T165" s="3"/>
      <c r="U165" s="3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 x14ac:dyDescent="0.25">
      <c r="A166" s="1"/>
      <c r="B166" s="1"/>
      <c r="C166" s="1"/>
      <c r="D166" s="1"/>
      <c r="E166" s="1"/>
      <c r="F166" s="3"/>
      <c r="G166" s="1"/>
      <c r="H166" s="1"/>
      <c r="I166" s="3"/>
      <c r="J166" s="1"/>
      <c r="P166" s="1"/>
      <c r="Q166" s="2"/>
      <c r="R166" s="1"/>
      <c r="S166" s="1"/>
      <c r="T166" s="3"/>
      <c r="U166" s="3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 x14ac:dyDescent="0.25">
      <c r="A167" s="1"/>
      <c r="B167" s="1"/>
      <c r="C167" s="1"/>
      <c r="D167" s="1"/>
      <c r="E167" s="1"/>
      <c r="F167" s="3"/>
      <c r="G167" s="1"/>
      <c r="H167" s="1"/>
      <c r="I167" s="3"/>
      <c r="J167" s="1"/>
      <c r="P167" s="1"/>
      <c r="Q167" s="2"/>
      <c r="R167" s="1"/>
      <c r="S167" s="1"/>
      <c r="T167" s="3"/>
      <c r="U167" s="3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 x14ac:dyDescent="0.25">
      <c r="A168" s="1"/>
      <c r="B168" s="1"/>
      <c r="C168" s="1"/>
      <c r="D168" s="1"/>
      <c r="E168" s="1"/>
      <c r="F168" s="3"/>
      <c r="G168" s="1"/>
      <c r="H168" s="1"/>
      <c r="I168" s="3"/>
      <c r="J168" s="1"/>
      <c r="P168" s="1"/>
      <c r="Q168" s="2"/>
      <c r="R168" s="1"/>
      <c r="S168" s="1"/>
      <c r="T168" s="3"/>
      <c r="U168" s="3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 x14ac:dyDescent="0.25">
      <c r="A169" s="1"/>
      <c r="B169" s="1"/>
      <c r="C169" s="1"/>
      <c r="D169" s="1"/>
      <c r="E169" s="1"/>
      <c r="F169" s="3"/>
      <c r="G169" s="1"/>
      <c r="H169" s="1"/>
      <c r="I169" s="3"/>
      <c r="J169" s="1"/>
      <c r="P169" s="1"/>
      <c r="Q169" s="2"/>
      <c r="R169" s="1"/>
      <c r="S169" s="1"/>
      <c r="T169" s="3"/>
      <c r="U169" s="3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 x14ac:dyDescent="0.25">
      <c r="A170" s="1"/>
      <c r="B170" s="1"/>
      <c r="C170" s="1"/>
      <c r="D170" s="1"/>
      <c r="E170" s="1"/>
      <c r="F170" s="3"/>
      <c r="G170" s="1"/>
      <c r="H170" s="1"/>
      <c r="I170" s="3"/>
      <c r="J170" s="1"/>
      <c r="P170" s="1"/>
      <c r="Q170" s="2"/>
      <c r="R170" s="1"/>
      <c r="S170" s="1"/>
      <c r="T170" s="3"/>
      <c r="U170" s="3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 x14ac:dyDescent="0.25">
      <c r="A171" s="1"/>
      <c r="B171" s="1"/>
      <c r="C171" s="1"/>
      <c r="D171" s="1"/>
      <c r="E171" s="1"/>
      <c r="F171" s="3"/>
      <c r="G171" s="1"/>
      <c r="H171" s="1"/>
      <c r="I171" s="3"/>
      <c r="J171" s="1"/>
      <c r="P171" s="1"/>
      <c r="Q171" s="2"/>
      <c r="R171" s="1"/>
      <c r="S171" s="1"/>
      <c r="T171" s="3"/>
      <c r="U171" s="3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 x14ac:dyDescent="0.25">
      <c r="A172" s="1"/>
      <c r="B172" s="1"/>
      <c r="C172" s="1"/>
      <c r="D172" s="1"/>
      <c r="E172" s="1"/>
      <c r="F172" s="3"/>
      <c r="G172" s="1"/>
      <c r="H172" s="1"/>
      <c r="I172" s="3"/>
      <c r="J172" s="1"/>
      <c r="P172" s="1"/>
      <c r="Q172" s="2"/>
      <c r="R172" s="1"/>
      <c r="S172" s="1"/>
      <c r="T172" s="3"/>
      <c r="U172" s="3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 x14ac:dyDescent="0.25">
      <c r="A173" s="1"/>
      <c r="B173" s="1"/>
      <c r="C173" s="1"/>
      <c r="D173" s="1"/>
      <c r="E173" s="1"/>
      <c r="F173" s="3"/>
      <c r="G173" s="1"/>
      <c r="H173" s="1"/>
      <c r="I173" s="3"/>
      <c r="J173" s="1"/>
      <c r="P173" s="1"/>
      <c r="Q173" s="2"/>
      <c r="R173" s="1"/>
      <c r="S173" s="1"/>
      <c r="T173" s="3"/>
      <c r="U173" s="3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 x14ac:dyDescent="0.25">
      <c r="A174" s="1"/>
      <c r="B174" s="1"/>
      <c r="C174" s="1"/>
      <c r="D174" s="1"/>
      <c r="E174" s="1"/>
      <c r="F174" s="3"/>
      <c r="G174" s="1"/>
      <c r="H174" s="1"/>
      <c r="I174" s="3"/>
      <c r="J174" s="1"/>
      <c r="P174" s="1"/>
      <c r="Q174" s="2"/>
      <c r="R174" s="1"/>
      <c r="S174" s="1"/>
      <c r="T174" s="3"/>
      <c r="U174" s="3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 x14ac:dyDescent="0.25">
      <c r="A175" s="1"/>
      <c r="B175" s="1"/>
      <c r="C175" s="1"/>
      <c r="D175" s="1"/>
      <c r="E175" s="1"/>
      <c r="F175" s="3"/>
      <c r="G175" s="1"/>
      <c r="H175" s="1"/>
      <c r="I175" s="3"/>
      <c r="J175" s="1"/>
      <c r="P175" s="1"/>
      <c r="Q175" s="2"/>
      <c r="R175" s="1"/>
      <c r="S175" s="1"/>
      <c r="T175" s="3"/>
      <c r="U175" s="3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 x14ac:dyDescent="0.25">
      <c r="A176" s="1"/>
      <c r="B176" s="1"/>
      <c r="C176" s="1"/>
      <c r="D176" s="1"/>
      <c r="E176" s="1"/>
      <c r="F176" s="3"/>
      <c r="G176" s="1"/>
      <c r="H176" s="1"/>
      <c r="I176" s="3"/>
      <c r="J176" s="1"/>
      <c r="P176" s="1"/>
      <c r="Q176" s="2"/>
      <c r="R176" s="1"/>
      <c r="S176" s="1"/>
      <c r="T176" s="3"/>
      <c r="U176" s="3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 x14ac:dyDescent="0.25">
      <c r="A177" s="1"/>
      <c r="B177" s="1"/>
      <c r="C177" s="1"/>
      <c r="D177" s="1"/>
      <c r="E177" s="1"/>
      <c r="F177" s="3"/>
      <c r="G177" s="1"/>
      <c r="H177" s="1"/>
      <c r="I177" s="3"/>
      <c r="J177" s="1"/>
      <c r="P177" s="1"/>
      <c r="Q177" s="2"/>
      <c r="R177" s="1"/>
      <c r="S177" s="1"/>
      <c r="T177" s="3"/>
      <c r="U177" s="3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 x14ac:dyDescent="0.25">
      <c r="A178" s="1"/>
      <c r="B178" s="1"/>
      <c r="C178" s="1"/>
      <c r="D178" s="1"/>
      <c r="E178" s="1"/>
      <c r="F178" s="3"/>
      <c r="G178" s="1"/>
      <c r="H178" s="1"/>
      <c r="I178" s="3"/>
      <c r="J178" s="1"/>
      <c r="P178" s="1"/>
      <c r="Q178" s="2"/>
      <c r="R178" s="1"/>
      <c r="S178" s="1"/>
      <c r="T178" s="3"/>
      <c r="U178" s="3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 x14ac:dyDescent="0.25">
      <c r="A179" s="1"/>
      <c r="B179" s="1"/>
      <c r="C179" s="1"/>
      <c r="D179" s="1"/>
      <c r="E179" s="1"/>
      <c r="F179" s="3"/>
      <c r="G179" s="1"/>
      <c r="H179" s="1"/>
      <c r="I179" s="3"/>
      <c r="J179" s="1"/>
      <c r="P179" s="1"/>
      <c r="Q179" s="2"/>
      <c r="R179" s="1"/>
      <c r="S179" s="1"/>
      <c r="T179" s="3"/>
      <c r="U179" s="3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 x14ac:dyDescent="0.25">
      <c r="A180" s="1"/>
      <c r="B180" s="1"/>
      <c r="C180" s="1"/>
      <c r="D180" s="1"/>
      <c r="E180" s="1"/>
      <c r="F180" s="3"/>
      <c r="G180" s="1"/>
      <c r="H180" s="1"/>
      <c r="I180" s="3"/>
      <c r="J180" s="1"/>
      <c r="P180" s="1"/>
      <c r="Q180" s="2"/>
      <c r="R180" s="1"/>
      <c r="S180" s="1"/>
      <c r="T180" s="3"/>
      <c r="U180" s="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 x14ac:dyDescent="0.25">
      <c r="A181" s="1"/>
      <c r="B181" s="1"/>
      <c r="C181" s="1"/>
      <c r="D181" s="1"/>
      <c r="E181" s="1"/>
      <c r="F181" s="3"/>
      <c r="G181" s="1"/>
      <c r="H181" s="1"/>
      <c r="I181" s="3"/>
      <c r="J181" s="1"/>
      <c r="P181" s="1"/>
      <c r="Q181" s="2"/>
      <c r="R181" s="1"/>
      <c r="S181" s="1"/>
      <c r="T181" s="3"/>
      <c r="U181" s="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 x14ac:dyDescent="0.25">
      <c r="A182" s="1"/>
      <c r="B182" s="1"/>
      <c r="C182" s="1"/>
      <c r="D182" s="1"/>
      <c r="E182" s="1"/>
      <c r="F182" s="3"/>
      <c r="G182" s="1"/>
      <c r="H182" s="1"/>
      <c r="I182" s="3"/>
      <c r="J182" s="1"/>
      <c r="P182" s="1"/>
      <c r="Q182" s="2"/>
      <c r="R182" s="1"/>
      <c r="S182" s="1"/>
      <c r="T182" s="3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 x14ac:dyDescent="0.25">
      <c r="A183" s="1"/>
      <c r="B183" s="1"/>
      <c r="C183" s="1"/>
      <c r="D183" s="1"/>
      <c r="E183" s="1"/>
      <c r="F183" s="3"/>
      <c r="G183" s="1"/>
      <c r="H183" s="1"/>
      <c r="I183" s="3"/>
      <c r="J183" s="1"/>
      <c r="P183" s="1"/>
      <c r="Q183" s="2"/>
      <c r="R183" s="1"/>
      <c r="S183" s="1"/>
      <c r="T183" s="3"/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 x14ac:dyDescent="0.25">
      <c r="A184" s="1"/>
      <c r="B184" s="1"/>
      <c r="C184" s="1"/>
      <c r="D184" s="1"/>
      <c r="E184" s="1"/>
      <c r="F184" s="3"/>
      <c r="G184" s="1"/>
      <c r="H184" s="1"/>
      <c r="I184" s="3"/>
      <c r="J184" s="1"/>
      <c r="P184" s="1"/>
      <c r="Q184" s="2"/>
      <c r="R184" s="1"/>
      <c r="S184" s="1"/>
      <c r="T184" s="3"/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 x14ac:dyDescent="0.25">
      <c r="A185" s="1"/>
      <c r="B185" s="1"/>
      <c r="C185" s="1"/>
      <c r="D185" s="1"/>
      <c r="E185" s="1"/>
      <c r="F185" s="3"/>
      <c r="G185" s="1"/>
      <c r="H185" s="1"/>
      <c r="I185" s="3"/>
      <c r="J185" s="1"/>
      <c r="P185" s="1"/>
      <c r="Q185" s="2"/>
      <c r="R185" s="1"/>
      <c r="S185" s="1"/>
      <c r="T185" s="3"/>
      <c r="U185" s="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 x14ac:dyDescent="0.25">
      <c r="A186" s="1"/>
      <c r="B186" s="1"/>
      <c r="C186" s="1"/>
      <c r="D186" s="1"/>
      <c r="E186" s="1"/>
      <c r="F186" s="3"/>
      <c r="G186" s="1"/>
      <c r="H186" s="1"/>
      <c r="I186" s="3"/>
      <c r="J186" s="1"/>
      <c r="P186" s="1"/>
      <c r="Q186" s="2"/>
      <c r="R186" s="1"/>
      <c r="S186" s="1"/>
      <c r="T186" s="3"/>
      <c r="U186" s="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 x14ac:dyDescent="0.25">
      <c r="A187" s="1"/>
      <c r="B187" s="1"/>
      <c r="C187" s="1"/>
      <c r="D187" s="1"/>
      <c r="E187" s="1"/>
      <c r="F187" s="3"/>
      <c r="G187" s="1"/>
      <c r="H187" s="1"/>
      <c r="I187" s="3"/>
      <c r="J187" s="1"/>
      <c r="P187" s="1"/>
      <c r="Q187" s="2"/>
      <c r="R187" s="1"/>
      <c r="S187" s="1"/>
      <c r="T187" s="3"/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 x14ac:dyDescent="0.25">
      <c r="A188" s="1"/>
      <c r="B188" s="1"/>
      <c r="C188" s="1"/>
      <c r="D188" s="1"/>
      <c r="E188" s="1"/>
      <c r="F188" s="3"/>
      <c r="G188" s="1"/>
      <c r="H188" s="1"/>
      <c r="I188" s="3"/>
      <c r="J188" s="1"/>
      <c r="P188" s="1"/>
      <c r="Q188" s="2"/>
      <c r="R188" s="1"/>
      <c r="S188" s="1"/>
      <c r="T188" s="3"/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 x14ac:dyDescent="0.25">
      <c r="A189" s="1"/>
      <c r="B189" s="1"/>
      <c r="C189" s="1"/>
      <c r="D189" s="1"/>
      <c r="E189" s="1"/>
      <c r="F189" s="3"/>
      <c r="G189" s="1"/>
      <c r="H189" s="1"/>
      <c r="I189" s="3"/>
      <c r="J189" s="1"/>
      <c r="P189" s="1"/>
      <c r="Q189" s="2"/>
      <c r="R189" s="1"/>
      <c r="S189" s="1"/>
      <c r="T189" s="3"/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 x14ac:dyDescent="0.25">
      <c r="A190" s="1"/>
      <c r="B190" s="1"/>
      <c r="C190" s="1"/>
      <c r="D190" s="1"/>
      <c r="E190" s="1"/>
      <c r="F190" s="3"/>
      <c r="G190" s="1"/>
      <c r="H190" s="1"/>
      <c r="I190" s="3"/>
      <c r="J190" s="1"/>
      <c r="P190" s="1"/>
      <c r="Q190" s="2"/>
      <c r="R190" s="1"/>
      <c r="S190" s="1"/>
      <c r="T190" s="3"/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 x14ac:dyDescent="0.25">
      <c r="A191" s="1"/>
      <c r="B191" s="1"/>
      <c r="C191" s="1"/>
      <c r="D191" s="1"/>
      <c r="E191" s="1"/>
      <c r="F191" s="3"/>
      <c r="G191" s="1"/>
      <c r="H191" s="1"/>
      <c r="I191" s="3"/>
      <c r="J191" s="1"/>
      <c r="P191" s="1"/>
      <c r="Q191" s="2"/>
      <c r="R191" s="1"/>
      <c r="S191" s="1"/>
      <c r="T191" s="3"/>
      <c r="U191" s="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 x14ac:dyDescent="0.25">
      <c r="A192" s="1"/>
      <c r="B192" s="1"/>
      <c r="C192" s="1"/>
      <c r="D192" s="1"/>
      <c r="E192" s="1"/>
      <c r="F192" s="3"/>
      <c r="G192" s="1"/>
      <c r="H192" s="1"/>
      <c r="I192" s="3"/>
      <c r="J192" s="1"/>
      <c r="P192" s="1"/>
      <c r="Q192" s="2"/>
      <c r="R192" s="1"/>
      <c r="S192" s="1"/>
      <c r="T192" s="3"/>
      <c r="U192" s="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 x14ac:dyDescent="0.25">
      <c r="A193" s="1"/>
      <c r="B193" s="1"/>
      <c r="C193" s="1"/>
      <c r="D193" s="1"/>
      <c r="E193" s="1"/>
      <c r="F193" s="3"/>
      <c r="G193" s="1"/>
      <c r="H193" s="1"/>
      <c r="I193" s="3"/>
      <c r="J193" s="1"/>
      <c r="P193" s="1"/>
      <c r="Q193" s="2"/>
      <c r="R193" s="1"/>
      <c r="S193" s="1"/>
      <c r="T193" s="3"/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 x14ac:dyDescent="0.25">
      <c r="A194" s="1"/>
      <c r="B194" s="1"/>
      <c r="C194" s="1"/>
      <c r="D194" s="1"/>
      <c r="E194" s="1"/>
      <c r="F194" s="3"/>
      <c r="G194" s="1"/>
      <c r="H194" s="1"/>
      <c r="I194" s="3"/>
      <c r="J194" s="1"/>
      <c r="P194" s="1"/>
      <c r="Q194" s="2"/>
      <c r="R194" s="1"/>
      <c r="S194" s="1"/>
      <c r="T194" s="3"/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 x14ac:dyDescent="0.25">
      <c r="A195" s="1"/>
      <c r="B195" s="1"/>
      <c r="C195" s="1"/>
      <c r="D195" s="1"/>
      <c r="E195" s="1"/>
      <c r="F195" s="3"/>
      <c r="G195" s="1"/>
      <c r="H195" s="1"/>
      <c r="I195" s="3"/>
      <c r="J195" s="1"/>
      <c r="P195" s="1"/>
      <c r="Q195" s="2"/>
      <c r="R195" s="1"/>
      <c r="S195" s="1"/>
      <c r="T195" s="3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 x14ac:dyDescent="0.25">
      <c r="A196" s="1"/>
      <c r="B196" s="1"/>
      <c r="C196" s="1"/>
      <c r="D196" s="1"/>
      <c r="E196" s="1"/>
      <c r="F196" s="3"/>
      <c r="G196" s="1"/>
      <c r="H196" s="1"/>
      <c r="I196" s="3"/>
      <c r="J196" s="1"/>
      <c r="P196" s="1"/>
      <c r="Q196" s="2"/>
      <c r="R196" s="1"/>
      <c r="S196" s="1"/>
      <c r="T196" s="3"/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 x14ac:dyDescent="0.25">
      <c r="A197" s="1"/>
      <c r="B197" s="1"/>
      <c r="C197" s="1"/>
      <c r="D197" s="1"/>
      <c r="E197" s="1"/>
      <c r="F197" s="3"/>
      <c r="G197" s="1"/>
      <c r="H197" s="1"/>
      <c r="I197" s="3"/>
      <c r="J197" s="1"/>
      <c r="P197" s="1"/>
      <c r="Q197" s="2"/>
      <c r="R197" s="1"/>
      <c r="S197" s="1"/>
      <c r="T197" s="3"/>
      <c r="U197" s="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 x14ac:dyDescent="0.25">
      <c r="A198" s="1"/>
      <c r="B198" s="1"/>
      <c r="C198" s="1"/>
      <c r="D198" s="1"/>
      <c r="E198" s="1"/>
      <c r="F198" s="3"/>
      <c r="G198" s="1"/>
      <c r="H198" s="1"/>
      <c r="I198" s="3"/>
      <c r="J198" s="1"/>
      <c r="P198" s="1"/>
      <c r="Q198" s="2"/>
      <c r="R198" s="1"/>
      <c r="S198" s="1"/>
      <c r="T198" s="3"/>
      <c r="U198" s="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 x14ac:dyDescent="0.25">
      <c r="A199" s="1"/>
      <c r="B199" s="1"/>
      <c r="C199" s="1"/>
      <c r="D199" s="1"/>
      <c r="E199" s="1"/>
      <c r="F199" s="3"/>
      <c r="G199" s="1"/>
      <c r="H199" s="1"/>
      <c r="I199" s="3"/>
      <c r="J199" s="1"/>
      <c r="P199" s="1"/>
      <c r="Q199" s="2"/>
      <c r="R199" s="1"/>
      <c r="S199" s="1"/>
      <c r="T199" s="3"/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 x14ac:dyDescent="0.25">
      <c r="A200" s="1"/>
      <c r="B200" s="1"/>
      <c r="C200" s="1"/>
      <c r="D200" s="1"/>
      <c r="E200" s="1"/>
      <c r="F200" s="3"/>
      <c r="G200" s="1"/>
      <c r="H200" s="1"/>
      <c r="I200" s="3"/>
      <c r="J200" s="1"/>
      <c r="P200" s="1"/>
      <c r="Q200" s="2"/>
      <c r="R200" s="1"/>
      <c r="S200" s="1"/>
      <c r="T200" s="3"/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 x14ac:dyDescent="0.25">
      <c r="A201" s="1"/>
      <c r="B201" s="1"/>
      <c r="C201" s="1"/>
      <c r="D201" s="1"/>
      <c r="E201" s="1"/>
      <c r="F201" s="3"/>
      <c r="G201" s="1"/>
      <c r="H201" s="1"/>
      <c r="I201" s="3"/>
      <c r="J201" s="1"/>
      <c r="P201" s="1"/>
      <c r="Q201" s="2"/>
      <c r="R201" s="1"/>
      <c r="S201" s="1"/>
      <c r="T201" s="3"/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 x14ac:dyDescent="0.25">
      <c r="A202" s="1"/>
      <c r="B202" s="1"/>
      <c r="C202" s="1"/>
      <c r="D202" s="1"/>
      <c r="E202" s="1"/>
      <c r="F202" s="3"/>
      <c r="G202" s="1"/>
      <c r="H202" s="1"/>
      <c r="I202" s="3"/>
      <c r="J202" s="1"/>
      <c r="P202" s="1"/>
      <c r="Q202" s="2"/>
      <c r="R202" s="1"/>
      <c r="S202" s="1"/>
      <c r="T202" s="3"/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 x14ac:dyDescent="0.25">
      <c r="A203" s="1"/>
      <c r="B203" s="1"/>
      <c r="C203" s="1"/>
      <c r="D203" s="1"/>
      <c r="E203" s="1"/>
      <c r="F203" s="3"/>
      <c r="G203" s="1"/>
      <c r="H203" s="1"/>
      <c r="I203" s="3"/>
      <c r="J203" s="1"/>
      <c r="P203" s="1"/>
      <c r="Q203" s="2"/>
      <c r="R203" s="1"/>
      <c r="S203" s="1"/>
      <c r="T203" s="3"/>
      <c r="U203" s="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 x14ac:dyDescent="0.25">
      <c r="A204" s="1"/>
      <c r="B204" s="1"/>
      <c r="C204" s="1"/>
      <c r="D204" s="1"/>
      <c r="E204" s="1"/>
      <c r="F204" s="3"/>
      <c r="G204" s="1"/>
      <c r="H204" s="1"/>
      <c r="I204" s="3"/>
      <c r="J204" s="1"/>
      <c r="P204" s="1"/>
      <c r="Q204" s="2"/>
      <c r="R204" s="1"/>
      <c r="S204" s="1"/>
      <c r="T204" s="3"/>
      <c r="U204" s="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 x14ac:dyDescent="0.25">
      <c r="A205" s="1"/>
      <c r="B205" s="1"/>
      <c r="C205" s="1"/>
      <c r="D205" s="1"/>
      <c r="E205" s="1"/>
      <c r="F205" s="3"/>
      <c r="G205" s="1"/>
      <c r="H205" s="1"/>
      <c r="I205" s="3"/>
      <c r="J205" s="1"/>
      <c r="P205" s="1"/>
      <c r="Q205" s="2"/>
      <c r="R205" s="1"/>
      <c r="S205" s="1"/>
      <c r="T205" s="3"/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 x14ac:dyDescent="0.25">
      <c r="A206" s="1"/>
      <c r="B206" s="1"/>
      <c r="C206" s="1"/>
      <c r="D206" s="1"/>
      <c r="E206" s="1"/>
      <c r="F206" s="3"/>
      <c r="G206" s="1"/>
      <c r="H206" s="1"/>
      <c r="I206" s="3"/>
      <c r="J206" s="1"/>
      <c r="P206" s="1"/>
      <c r="Q206" s="2"/>
      <c r="R206" s="1"/>
      <c r="S206" s="1"/>
      <c r="T206" s="3"/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 x14ac:dyDescent="0.25">
      <c r="A207" s="1"/>
      <c r="B207" s="1"/>
      <c r="C207" s="1"/>
      <c r="D207" s="1"/>
      <c r="E207" s="1"/>
      <c r="F207" s="3"/>
      <c r="G207" s="1"/>
      <c r="H207" s="1"/>
      <c r="I207" s="3"/>
      <c r="J207" s="1"/>
      <c r="P207" s="1"/>
      <c r="Q207" s="2"/>
      <c r="R207" s="1"/>
      <c r="S207" s="1"/>
      <c r="T207" s="3"/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 x14ac:dyDescent="0.25">
      <c r="A208" s="1"/>
      <c r="B208" s="1"/>
      <c r="C208" s="1"/>
      <c r="D208" s="1"/>
      <c r="E208" s="1"/>
      <c r="F208" s="3"/>
      <c r="G208" s="1"/>
      <c r="H208" s="1"/>
      <c r="I208" s="3"/>
      <c r="J208" s="1"/>
      <c r="P208" s="1"/>
      <c r="Q208" s="2"/>
      <c r="R208" s="1"/>
      <c r="S208" s="1"/>
      <c r="T208" s="3"/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 x14ac:dyDescent="0.25">
      <c r="A209" s="1"/>
      <c r="B209" s="1"/>
      <c r="C209" s="1"/>
      <c r="D209" s="1"/>
      <c r="E209" s="1"/>
      <c r="F209" s="3"/>
      <c r="G209" s="1"/>
      <c r="H209" s="1"/>
      <c r="I209" s="3"/>
      <c r="J209" s="1"/>
      <c r="P209" s="1"/>
      <c r="Q209" s="2"/>
      <c r="R209" s="1"/>
      <c r="S209" s="1"/>
      <c r="T209" s="3"/>
      <c r="U209" s="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 x14ac:dyDescent="0.25">
      <c r="A210" s="1"/>
      <c r="B210" s="1"/>
      <c r="C210" s="1"/>
      <c r="D210" s="1"/>
      <c r="E210" s="1"/>
      <c r="F210" s="3"/>
      <c r="G210" s="1"/>
      <c r="H210" s="1"/>
      <c r="I210" s="3"/>
      <c r="J210" s="1"/>
      <c r="P210" s="1"/>
      <c r="Q210" s="2"/>
      <c r="R210" s="1"/>
      <c r="S210" s="1"/>
      <c r="T210" s="3"/>
      <c r="U210" s="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 x14ac:dyDescent="0.25">
      <c r="A211" s="1"/>
      <c r="B211" s="1"/>
      <c r="C211" s="1"/>
      <c r="D211" s="1"/>
      <c r="E211" s="1"/>
      <c r="F211" s="3"/>
      <c r="G211" s="1"/>
      <c r="H211" s="1"/>
      <c r="I211" s="3"/>
      <c r="J211" s="1"/>
      <c r="P211" s="1"/>
      <c r="Q211" s="2"/>
      <c r="R211" s="1"/>
      <c r="S211" s="1"/>
      <c r="T211" s="3"/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 x14ac:dyDescent="0.25">
      <c r="A212" s="1"/>
      <c r="B212" s="1"/>
      <c r="C212" s="1"/>
      <c r="D212" s="1"/>
      <c r="E212" s="1"/>
      <c r="F212" s="3"/>
      <c r="G212" s="1"/>
      <c r="H212" s="1"/>
      <c r="I212" s="3"/>
      <c r="J212" s="1"/>
      <c r="P212" s="1"/>
      <c r="Q212" s="2"/>
      <c r="R212" s="1"/>
      <c r="S212" s="1"/>
      <c r="T212" s="3"/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 x14ac:dyDescent="0.25">
      <c r="A213" s="1"/>
      <c r="B213" s="1"/>
      <c r="C213" s="1"/>
      <c r="D213" s="1"/>
      <c r="E213" s="1"/>
      <c r="F213" s="3"/>
      <c r="G213" s="1"/>
      <c r="H213" s="1"/>
      <c r="I213" s="3"/>
      <c r="J213" s="1"/>
      <c r="P213" s="1"/>
      <c r="Q213" s="2"/>
      <c r="R213" s="1"/>
      <c r="S213" s="1"/>
      <c r="T213" s="3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 x14ac:dyDescent="0.25">
      <c r="A214" s="1"/>
      <c r="B214" s="1"/>
      <c r="C214" s="1"/>
      <c r="D214" s="1"/>
      <c r="E214" s="1"/>
      <c r="F214" s="3"/>
      <c r="G214" s="1"/>
      <c r="H214" s="1"/>
      <c r="I214" s="3"/>
      <c r="J214" s="1"/>
      <c r="P214" s="1"/>
      <c r="Q214" s="2"/>
      <c r="R214" s="1"/>
      <c r="S214" s="1"/>
      <c r="T214" s="3"/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 x14ac:dyDescent="0.25">
      <c r="A215" s="1"/>
      <c r="B215" s="1"/>
      <c r="C215" s="1"/>
      <c r="D215" s="1"/>
      <c r="E215" s="1"/>
      <c r="F215" s="3"/>
      <c r="G215" s="1"/>
      <c r="H215" s="1"/>
      <c r="I215" s="3"/>
      <c r="J215" s="1"/>
      <c r="P215" s="1"/>
      <c r="Q215" s="2"/>
      <c r="R215" s="1"/>
      <c r="S215" s="1"/>
      <c r="T215" s="3"/>
      <c r="U215" s="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 x14ac:dyDescent="0.25">
      <c r="A216" s="1"/>
      <c r="B216" s="1"/>
      <c r="C216" s="1"/>
      <c r="D216" s="1"/>
      <c r="E216" s="1"/>
      <c r="F216" s="3"/>
      <c r="G216" s="1"/>
      <c r="H216" s="1"/>
      <c r="I216" s="3"/>
      <c r="J216" s="1"/>
      <c r="P216" s="1"/>
      <c r="Q216" s="2"/>
      <c r="R216" s="1"/>
      <c r="S216" s="1"/>
      <c r="T216" s="3"/>
      <c r="U216" s="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 x14ac:dyDescent="0.25">
      <c r="A217" s="1"/>
      <c r="B217" s="1"/>
      <c r="C217" s="1"/>
      <c r="D217" s="1"/>
      <c r="E217" s="1"/>
      <c r="F217" s="3"/>
      <c r="G217" s="1"/>
      <c r="H217" s="1"/>
      <c r="I217" s="3"/>
      <c r="J217" s="1"/>
      <c r="P217" s="1"/>
      <c r="Q217" s="2"/>
      <c r="R217" s="1"/>
      <c r="S217" s="1"/>
      <c r="T217" s="3"/>
      <c r="U217" s="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 x14ac:dyDescent="0.25">
      <c r="A218" s="1"/>
      <c r="B218" s="1"/>
      <c r="C218" s="1"/>
      <c r="D218" s="1"/>
      <c r="E218" s="1"/>
      <c r="F218" s="3"/>
      <c r="G218" s="1"/>
      <c r="H218" s="1"/>
      <c r="I218" s="3"/>
      <c r="J218" s="1"/>
      <c r="P218" s="1"/>
      <c r="Q218" s="2"/>
      <c r="R218" s="1"/>
      <c r="S218" s="1"/>
      <c r="T218" s="3"/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 x14ac:dyDescent="0.25">
      <c r="A219" s="1"/>
      <c r="B219" s="1"/>
      <c r="C219" s="1"/>
      <c r="D219" s="1"/>
      <c r="E219" s="1"/>
      <c r="F219" s="3"/>
      <c r="G219" s="1"/>
      <c r="H219" s="1"/>
      <c r="I219" s="3"/>
      <c r="J219" s="1"/>
      <c r="P219" s="1"/>
      <c r="Q219" s="2"/>
      <c r="R219" s="1"/>
      <c r="S219" s="1"/>
      <c r="T219" s="3"/>
      <c r="U219" s="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 x14ac:dyDescent="0.25">
      <c r="A220" s="1"/>
      <c r="B220" s="1"/>
      <c r="C220" s="1"/>
      <c r="D220" s="1"/>
      <c r="E220" s="1"/>
      <c r="F220" s="3"/>
      <c r="G220" s="1"/>
      <c r="H220" s="1"/>
      <c r="I220" s="3"/>
      <c r="J220" s="1"/>
      <c r="P220" s="1"/>
      <c r="Q220" s="2"/>
      <c r="R220" s="1"/>
      <c r="S220" s="1"/>
      <c r="T220" s="3"/>
      <c r="U220" s="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 x14ac:dyDescent="0.25">
      <c r="A221" s="1"/>
      <c r="B221" s="1"/>
      <c r="C221" s="1"/>
      <c r="D221" s="1"/>
      <c r="E221" s="1"/>
      <c r="F221" s="3"/>
      <c r="G221" s="1"/>
      <c r="H221" s="1"/>
      <c r="I221" s="3"/>
      <c r="J221" s="1"/>
      <c r="P221" s="1"/>
      <c r="Q221" s="2"/>
      <c r="R221" s="1"/>
      <c r="S221" s="1"/>
      <c r="T221" s="3"/>
      <c r="U221" s="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 x14ac:dyDescent="0.25">
      <c r="A222" s="1"/>
      <c r="B222" s="1"/>
      <c r="C222" s="1"/>
      <c r="D222" s="1"/>
      <c r="E222" s="1"/>
      <c r="F222" s="3"/>
      <c r="G222" s="1"/>
      <c r="H222" s="1"/>
      <c r="I222" s="3"/>
      <c r="J222" s="1"/>
      <c r="P222" s="1"/>
      <c r="Q222" s="2"/>
      <c r="R222" s="1"/>
      <c r="S222" s="1"/>
      <c r="T222" s="3"/>
      <c r="U222" s="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 x14ac:dyDescent="0.25">
      <c r="A223" s="1"/>
      <c r="B223" s="1"/>
      <c r="C223" s="1"/>
      <c r="D223" s="1"/>
      <c r="E223" s="1"/>
      <c r="F223" s="3"/>
      <c r="G223" s="1"/>
      <c r="H223" s="1"/>
      <c r="I223" s="3"/>
      <c r="J223" s="1"/>
      <c r="P223" s="1"/>
      <c r="Q223" s="2"/>
      <c r="R223" s="1"/>
      <c r="S223" s="1"/>
      <c r="T223" s="3"/>
      <c r="U223" s="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 x14ac:dyDescent="0.25">
      <c r="A224" s="1"/>
      <c r="B224" s="1"/>
      <c r="C224" s="1"/>
      <c r="D224" s="1"/>
      <c r="E224" s="1"/>
      <c r="F224" s="3"/>
      <c r="G224" s="1"/>
      <c r="H224" s="1"/>
      <c r="I224" s="3"/>
      <c r="J224" s="1"/>
      <c r="P224" s="1"/>
      <c r="Q224" s="2"/>
      <c r="R224" s="1"/>
      <c r="S224" s="1"/>
      <c r="T224" s="3"/>
      <c r="U224" s="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 x14ac:dyDescent="0.25">
      <c r="A225" s="1"/>
      <c r="B225" s="1"/>
      <c r="C225" s="1"/>
      <c r="D225" s="1"/>
      <c r="E225" s="1"/>
      <c r="F225" s="3"/>
      <c r="G225" s="1"/>
      <c r="H225" s="1"/>
      <c r="I225" s="3"/>
      <c r="J225" s="1"/>
      <c r="P225" s="1"/>
      <c r="Q225" s="2"/>
      <c r="R225" s="1"/>
      <c r="S225" s="1"/>
      <c r="T225" s="3"/>
      <c r="U225" s="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 x14ac:dyDescent="0.25">
      <c r="A226" s="1"/>
      <c r="B226" s="1"/>
      <c r="C226" s="1"/>
      <c r="D226" s="1"/>
      <c r="E226" s="1"/>
      <c r="F226" s="3"/>
      <c r="G226" s="1"/>
      <c r="H226" s="1"/>
      <c r="I226" s="3"/>
      <c r="J226" s="1"/>
      <c r="P226" s="1"/>
      <c r="Q226" s="2"/>
      <c r="R226" s="1"/>
      <c r="S226" s="1"/>
      <c r="T226" s="3"/>
      <c r="U226" s="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 x14ac:dyDescent="0.25">
      <c r="A227" s="1"/>
      <c r="B227" s="1"/>
      <c r="C227" s="1"/>
      <c r="D227" s="1"/>
      <c r="E227" s="1"/>
      <c r="F227" s="3"/>
      <c r="G227" s="1"/>
      <c r="H227" s="1"/>
      <c r="I227" s="3"/>
      <c r="J227" s="1"/>
      <c r="P227" s="1"/>
      <c r="Q227" s="2"/>
      <c r="R227" s="1"/>
      <c r="S227" s="1"/>
      <c r="T227" s="3"/>
      <c r="U227" s="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 x14ac:dyDescent="0.25">
      <c r="A228" s="1"/>
      <c r="B228" s="1"/>
      <c r="C228" s="1"/>
      <c r="D228" s="1"/>
      <c r="E228" s="1"/>
      <c r="F228" s="3"/>
      <c r="G228" s="1"/>
      <c r="H228" s="1"/>
      <c r="I228" s="3"/>
      <c r="J228" s="1"/>
      <c r="P228" s="1"/>
      <c r="Q228" s="2"/>
      <c r="R228" s="1"/>
      <c r="S228" s="1"/>
      <c r="T228" s="3"/>
      <c r="U228" s="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 x14ac:dyDescent="0.25">
      <c r="A229" s="1"/>
      <c r="B229" s="1"/>
      <c r="C229" s="1"/>
      <c r="D229" s="1"/>
      <c r="E229" s="1"/>
      <c r="F229" s="3"/>
      <c r="G229" s="1"/>
      <c r="H229" s="1"/>
      <c r="I229" s="3"/>
      <c r="J229" s="1"/>
      <c r="P229" s="1"/>
      <c r="Q229" s="2"/>
      <c r="R229" s="1"/>
      <c r="S229" s="1"/>
      <c r="T229" s="3"/>
      <c r="U229" s="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 x14ac:dyDescent="0.25">
      <c r="A230" s="1"/>
      <c r="B230" s="1"/>
      <c r="C230" s="1"/>
      <c r="D230" s="1"/>
      <c r="E230" s="1"/>
      <c r="F230" s="3"/>
      <c r="G230" s="1"/>
      <c r="H230" s="1"/>
      <c r="I230" s="3"/>
      <c r="J230" s="1"/>
      <c r="P230" s="1"/>
      <c r="Q230" s="2"/>
      <c r="R230" s="1"/>
      <c r="S230" s="1"/>
      <c r="T230" s="3"/>
      <c r="U230" s="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 x14ac:dyDescent="0.25">
      <c r="A231" s="1"/>
      <c r="B231" s="1"/>
      <c r="C231" s="1"/>
      <c r="D231" s="1"/>
      <c r="E231" s="1"/>
      <c r="F231" s="3"/>
      <c r="G231" s="1"/>
      <c r="H231" s="1"/>
      <c r="I231" s="3"/>
      <c r="J231" s="1"/>
      <c r="P231" s="1"/>
      <c r="Q231" s="2"/>
      <c r="R231" s="1"/>
      <c r="S231" s="1"/>
      <c r="T231" s="3"/>
      <c r="U231" s="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 x14ac:dyDescent="0.25">
      <c r="A232" s="1"/>
      <c r="B232" s="1"/>
      <c r="C232" s="1"/>
      <c r="D232" s="1"/>
      <c r="E232" s="1"/>
      <c r="F232" s="3"/>
      <c r="G232" s="1"/>
      <c r="H232" s="1"/>
      <c r="I232" s="3"/>
      <c r="J232" s="1"/>
      <c r="P232" s="1"/>
      <c r="Q232" s="2"/>
      <c r="R232" s="1"/>
      <c r="S232" s="1"/>
      <c r="T232" s="3"/>
      <c r="U232" s="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 x14ac:dyDescent="0.25">
      <c r="A233" s="1"/>
      <c r="B233" s="1"/>
      <c r="C233" s="1"/>
      <c r="D233" s="1"/>
      <c r="E233" s="1"/>
      <c r="F233" s="3"/>
      <c r="G233" s="1"/>
      <c r="H233" s="1"/>
      <c r="I233" s="3"/>
      <c r="J233" s="1"/>
      <c r="P233" s="1"/>
      <c r="Q233" s="2"/>
      <c r="R233" s="1"/>
      <c r="S233" s="1"/>
      <c r="T233" s="3"/>
      <c r="U233" s="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 x14ac:dyDescent="0.25">
      <c r="A234" s="1"/>
      <c r="B234" s="1"/>
      <c r="C234" s="1"/>
      <c r="D234" s="1"/>
      <c r="E234" s="1"/>
      <c r="F234" s="3"/>
      <c r="G234" s="1"/>
      <c r="H234" s="1"/>
      <c r="I234" s="3"/>
      <c r="J234" s="1"/>
      <c r="P234" s="1"/>
      <c r="Q234" s="2"/>
      <c r="R234" s="1"/>
      <c r="S234" s="1"/>
      <c r="T234" s="3"/>
      <c r="U234" s="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 x14ac:dyDescent="0.25">
      <c r="A235" s="1"/>
      <c r="B235" s="1"/>
      <c r="C235" s="1"/>
      <c r="D235" s="1"/>
      <c r="E235" s="1"/>
      <c r="F235" s="3"/>
      <c r="G235" s="1"/>
      <c r="H235" s="1"/>
      <c r="I235" s="3"/>
      <c r="J235" s="1"/>
      <c r="P235" s="1"/>
      <c r="Q235" s="2"/>
      <c r="R235" s="1"/>
      <c r="S235" s="1"/>
      <c r="T235" s="3"/>
      <c r="U235" s="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 x14ac:dyDescent="0.25">
      <c r="A236" s="1"/>
      <c r="B236" s="1"/>
      <c r="C236" s="1"/>
      <c r="D236" s="1"/>
      <c r="E236" s="1"/>
      <c r="F236" s="3"/>
      <c r="G236" s="1"/>
      <c r="H236" s="1"/>
      <c r="I236" s="3"/>
      <c r="J236" s="1"/>
      <c r="P236" s="1"/>
      <c r="Q236" s="2"/>
      <c r="R236" s="1"/>
      <c r="S236" s="1"/>
      <c r="T236" s="3"/>
      <c r="U236" s="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 x14ac:dyDescent="0.25">
      <c r="A237" s="1"/>
      <c r="B237" s="1"/>
      <c r="C237" s="1"/>
      <c r="D237" s="1"/>
      <c r="E237" s="1"/>
      <c r="F237" s="3"/>
      <c r="G237" s="1"/>
      <c r="H237" s="1"/>
      <c r="I237" s="3"/>
      <c r="J237" s="1"/>
      <c r="P237" s="1"/>
      <c r="Q237" s="2"/>
      <c r="R237" s="1"/>
      <c r="S237" s="1"/>
      <c r="T237" s="3"/>
      <c r="U237" s="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 x14ac:dyDescent="0.25">
      <c r="A238" s="1"/>
      <c r="B238" s="1"/>
      <c r="C238" s="1"/>
      <c r="D238" s="1"/>
      <c r="E238" s="1"/>
      <c r="F238" s="3"/>
      <c r="G238" s="1"/>
      <c r="H238" s="1"/>
      <c r="I238" s="3"/>
      <c r="J238" s="1"/>
      <c r="P238" s="1"/>
      <c r="Q238" s="2"/>
      <c r="R238" s="1"/>
      <c r="S238" s="1"/>
      <c r="T238" s="3"/>
      <c r="U238" s="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 x14ac:dyDescent="0.25">
      <c r="A239" s="1"/>
      <c r="B239" s="1"/>
      <c r="C239" s="1"/>
      <c r="D239" s="1"/>
      <c r="E239" s="1"/>
      <c r="F239" s="3"/>
      <c r="G239" s="1"/>
      <c r="H239" s="1"/>
      <c r="I239" s="3"/>
      <c r="J239" s="1"/>
      <c r="P239" s="1"/>
      <c r="Q239" s="2"/>
      <c r="R239" s="1"/>
      <c r="S239" s="1"/>
      <c r="T239" s="3"/>
      <c r="U239" s="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 x14ac:dyDescent="0.25">
      <c r="A240" s="1"/>
      <c r="B240" s="1"/>
      <c r="C240" s="1"/>
      <c r="D240" s="1"/>
      <c r="E240" s="1"/>
      <c r="F240" s="3"/>
      <c r="G240" s="1"/>
      <c r="H240" s="1"/>
      <c r="I240" s="3"/>
      <c r="J240" s="1"/>
      <c r="P240" s="1"/>
      <c r="Q240" s="2"/>
      <c r="R240" s="1"/>
      <c r="S240" s="1"/>
      <c r="T240" s="3"/>
      <c r="U240" s="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customHeight="1" x14ac:dyDescent="0.25">
      <c r="A241" s="1"/>
      <c r="B241" s="1"/>
      <c r="C241" s="1"/>
      <c r="D241" s="1"/>
      <c r="E241" s="1"/>
      <c r="F241" s="3"/>
      <c r="G241" s="1"/>
      <c r="H241" s="1"/>
      <c r="I241" s="3"/>
      <c r="J241" s="1"/>
      <c r="P241" s="1"/>
      <c r="Q241" s="2"/>
      <c r="R241" s="1"/>
      <c r="S241" s="1"/>
      <c r="T241" s="3"/>
      <c r="U241" s="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customHeight="1" x14ac:dyDescent="0.25">
      <c r="A242" s="1"/>
      <c r="B242" s="1"/>
      <c r="C242" s="1"/>
      <c r="D242" s="1"/>
      <c r="E242" s="1"/>
      <c r="F242" s="3"/>
      <c r="G242" s="1"/>
      <c r="H242" s="1"/>
      <c r="I242" s="3"/>
      <c r="J242" s="1"/>
      <c r="P242" s="1"/>
      <c r="Q242" s="2"/>
      <c r="R242" s="1"/>
      <c r="S242" s="1"/>
      <c r="T242" s="3"/>
      <c r="U242" s="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customHeight="1" x14ac:dyDescent="0.25">
      <c r="A243" s="1"/>
      <c r="B243" s="1"/>
      <c r="C243" s="1"/>
      <c r="D243" s="1"/>
      <c r="E243" s="1"/>
      <c r="F243" s="3"/>
      <c r="G243" s="1"/>
      <c r="H243" s="1"/>
      <c r="I243" s="3"/>
      <c r="J243" s="1"/>
      <c r="P243" s="1"/>
      <c r="Q243" s="2"/>
      <c r="R243" s="1"/>
      <c r="S243" s="1"/>
      <c r="T243" s="3"/>
      <c r="U243" s="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customHeight="1" x14ac:dyDescent="0.25">
      <c r="A244" s="1"/>
      <c r="B244" s="1"/>
      <c r="C244" s="1"/>
      <c r="D244" s="1"/>
      <c r="E244" s="1"/>
      <c r="F244" s="3"/>
      <c r="G244" s="1"/>
      <c r="H244" s="1"/>
      <c r="I244" s="3"/>
      <c r="J244" s="1"/>
      <c r="P244" s="1"/>
      <c r="Q244" s="2"/>
      <c r="R244" s="1"/>
      <c r="S244" s="1"/>
      <c r="T244" s="3"/>
      <c r="U244" s="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customHeight="1" x14ac:dyDescent="0.25">
      <c r="A245" s="1"/>
      <c r="B245" s="1"/>
      <c r="C245" s="1"/>
      <c r="D245" s="1"/>
      <c r="E245" s="1"/>
      <c r="F245" s="3"/>
      <c r="G245" s="1"/>
      <c r="H245" s="1"/>
      <c r="I245" s="3"/>
      <c r="J245" s="1"/>
      <c r="P245" s="1"/>
      <c r="Q245" s="2"/>
      <c r="R245" s="1"/>
      <c r="S245" s="1"/>
      <c r="T245" s="3"/>
      <c r="U245" s="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customHeight="1" x14ac:dyDescent="0.25">
      <c r="A246" s="1"/>
      <c r="B246" s="1"/>
      <c r="C246" s="1"/>
      <c r="D246" s="1"/>
      <c r="E246" s="1"/>
      <c r="F246" s="3"/>
      <c r="G246" s="1"/>
      <c r="H246" s="1"/>
      <c r="I246" s="3"/>
      <c r="J246" s="1"/>
      <c r="P246" s="1"/>
      <c r="Q246" s="2"/>
      <c r="R246" s="1"/>
      <c r="S246" s="1"/>
      <c r="T246" s="3"/>
      <c r="U246" s="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customHeight="1" x14ac:dyDescent="0.25">
      <c r="A247" s="1"/>
      <c r="B247" s="1"/>
      <c r="C247" s="1"/>
      <c r="D247" s="1"/>
      <c r="E247" s="1"/>
      <c r="F247" s="3"/>
      <c r="G247" s="1"/>
      <c r="H247" s="1"/>
      <c r="I247" s="3"/>
      <c r="J247" s="1"/>
      <c r="P247" s="1"/>
      <c r="Q247" s="2"/>
      <c r="R247" s="1"/>
      <c r="S247" s="1"/>
      <c r="T247" s="3"/>
      <c r="U247" s="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customHeight="1" x14ac:dyDescent="0.25">
      <c r="A248" s="1"/>
      <c r="B248" s="1"/>
      <c r="C248" s="1"/>
      <c r="D248" s="1"/>
      <c r="E248" s="1"/>
      <c r="F248" s="3"/>
      <c r="G248" s="1"/>
      <c r="H248" s="1"/>
      <c r="I248" s="3"/>
      <c r="J248" s="1"/>
      <c r="P248" s="1"/>
      <c r="Q248" s="2"/>
      <c r="R248" s="1"/>
      <c r="S248" s="1"/>
      <c r="T248" s="3"/>
      <c r="U248" s="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75" customHeight="1" x14ac:dyDescent="0.25">
      <c r="A249" s="1"/>
      <c r="B249" s="1"/>
      <c r="C249" s="1"/>
      <c r="D249" s="1"/>
      <c r="E249" s="1"/>
      <c r="F249" s="3"/>
      <c r="G249" s="1"/>
      <c r="H249" s="1"/>
      <c r="I249" s="3"/>
      <c r="J249" s="1"/>
      <c r="P249" s="1"/>
      <c r="Q249" s="2"/>
      <c r="R249" s="1"/>
      <c r="S249" s="1"/>
      <c r="T249" s="3"/>
      <c r="U249" s="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75" customHeight="1" x14ac:dyDescent="0.25">
      <c r="A250" s="1"/>
      <c r="B250" s="1"/>
      <c r="C250" s="1"/>
      <c r="D250" s="1"/>
      <c r="E250" s="1"/>
      <c r="F250" s="3"/>
      <c r="G250" s="1"/>
      <c r="H250" s="1"/>
      <c r="I250" s="3"/>
      <c r="J250" s="1"/>
      <c r="P250" s="1"/>
      <c r="Q250" s="2"/>
      <c r="R250" s="1"/>
      <c r="S250" s="1"/>
      <c r="T250" s="3"/>
      <c r="U250" s="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75" customHeight="1" x14ac:dyDescent="0.25">
      <c r="A251" s="1"/>
      <c r="B251" s="1"/>
      <c r="C251" s="1"/>
      <c r="D251" s="1"/>
      <c r="E251" s="1"/>
      <c r="F251" s="3"/>
      <c r="G251" s="1"/>
      <c r="H251" s="1"/>
      <c r="I251" s="3"/>
      <c r="J251" s="1"/>
      <c r="P251" s="1"/>
      <c r="Q251" s="2"/>
      <c r="R251" s="1"/>
      <c r="S251" s="1"/>
      <c r="T251" s="3"/>
      <c r="U251" s="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75" customHeight="1" x14ac:dyDescent="0.25">
      <c r="A252" s="1"/>
      <c r="B252" s="1"/>
      <c r="C252" s="1"/>
      <c r="D252" s="1"/>
      <c r="E252" s="1"/>
      <c r="F252" s="3"/>
      <c r="G252" s="1"/>
      <c r="H252" s="1"/>
      <c r="I252" s="3"/>
      <c r="J252" s="1"/>
      <c r="P252" s="1"/>
      <c r="Q252" s="2"/>
      <c r="R252" s="1"/>
      <c r="S252" s="1"/>
      <c r="T252" s="3"/>
      <c r="U252" s="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75" customHeight="1" x14ac:dyDescent="0.25">
      <c r="A253" s="1"/>
      <c r="B253" s="1"/>
      <c r="C253" s="1"/>
      <c r="D253" s="1"/>
      <c r="E253" s="1"/>
      <c r="F253" s="3"/>
      <c r="G253" s="1"/>
      <c r="H253" s="1"/>
      <c r="I253" s="3"/>
      <c r="J253" s="1"/>
      <c r="P253" s="1"/>
      <c r="Q253" s="2"/>
      <c r="R253" s="1"/>
      <c r="S253" s="1"/>
      <c r="T253" s="3"/>
      <c r="U253" s="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75" customHeight="1" x14ac:dyDescent="0.25">
      <c r="A254" s="1"/>
      <c r="B254" s="1"/>
      <c r="C254" s="1"/>
      <c r="D254" s="1"/>
      <c r="E254" s="1"/>
      <c r="F254" s="3"/>
      <c r="G254" s="1"/>
      <c r="H254" s="1"/>
      <c r="I254" s="3"/>
      <c r="J254" s="1"/>
      <c r="P254" s="1"/>
      <c r="Q254" s="2"/>
      <c r="R254" s="1"/>
      <c r="S254" s="1"/>
      <c r="T254" s="3"/>
      <c r="U254" s="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75" customHeight="1" x14ac:dyDescent="0.25">
      <c r="A255" s="1"/>
      <c r="B255" s="1"/>
      <c r="C255" s="1"/>
      <c r="D255" s="1"/>
      <c r="E255" s="1"/>
      <c r="F255" s="3"/>
      <c r="G255" s="1"/>
      <c r="H255" s="1"/>
      <c r="I255" s="3"/>
      <c r="J255" s="1"/>
      <c r="P255" s="1"/>
      <c r="Q255" s="2"/>
      <c r="R255" s="1"/>
      <c r="S255" s="1"/>
      <c r="T255" s="3"/>
      <c r="U255" s="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75" customHeight="1" x14ac:dyDescent="0.25">
      <c r="A256" s="1"/>
      <c r="B256" s="1"/>
      <c r="C256" s="1"/>
      <c r="D256" s="1"/>
      <c r="E256" s="1"/>
      <c r="F256" s="3"/>
      <c r="G256" s="1"/>
      <c r="H256" s="1"/>
      <c r="I256" s="3"/>
      <c r="J256" s="1"/>
      <c r="P256" s="1"/>
      <c r="Q256" s="2"/>
      <c r="R256" s="1"/>
      <c r="S256" s="1"/>
      <c r="T256" s="3"/>
      <c r="U256" s="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75" customHeight="1" x14ac:dyDescent="0.25">
      <c r="A257" s="1"/>
      <c r="B257" s="1"/>
      <c r="C257" s="1"/>
      <c r="D257" s="1"/>
      <c r="E257" s="1"/>
      <c r="F257" s="3"/>
      <c r="G257" s="1"/>
      <c r="H257" s="1"/>
      <c r="I257" s="3"/>
      <c r="J257" s="1"/>
      <c r="P257" s="1"/>
      <c r="Q257" s="2"/>
      <c r="R257" s="1"/>
      <c r="S257" s="1"/>
      <c r="T257" s="3"/>
      <c r="U257" s="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75" customHeight="1" x14ac:dyDescent="0.25">
      <c r="A258" s="1"/>
      <c r="B258" s="1"/>
      <c r="C258" s="1"/>
      <c r="D258" s="1"/>
      <c r="E258" s="1"/>
      <c r="F258" s="3"/>
      <c r="G258" s="1"/>
      <c r="H258" s="1"/>
      <c r="I258" s="3"/>
      <c r="J258" s="1"/>
      <c r="P258" s="1"/>
      <c r="Q258" s="2"/>
      <c r="R258" s="1"/>
      <c r="S258" s="1"/>
      <c r="T258" s="3"/>
      <c r="U258" s="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75" customHeight="1" x14ac:dyDescent="0.25">
      <c r="A259" s="1"/>
      <c r="B259" s="1"/>
      <c r="C259" s="1"/>
      <c r="D259" s="1"/>
      <c r="E259" s="1"/>
      <c r="F259" s="3"/>
      <c r="G259" s="1"/>
      <c r="H259" s="1"/>
      <c r="I259" s="3"/>
      <c r="J259" s="1"/>
      <c r="P259" s="1"/>
      <c r="Q259" s="2"/>
      <c r="R259" s="1"/>
      <c r="S259" s="1"/>
      <c r="T259" s="3"/>
      <c r="U259" s="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75" customHeight="1" x14ac:dyDescent="0.25">
      <c r="A260" s="1"/>
      <c r="B260" s="1"/>
      <c r="C260" s="1"/>
      <c r="D260" s="1"/>
      <c r="E260" s="1"/>
      <c r="F260" s="3"/>
      <c r="G260" s="1"/>
      <c r="H260" s="1"/>
      <c r="I260" s="3"/>
      <c r="J260" s="1"/>
      <c r="P260" s="1"/>
      <c r="Q260" s="2"/>
      <c r="R260" s="1"/>
      <c r="S260" s="1"/>
      <c r="T260" s="3"/>
      <c r="U260" s="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75" customHeight="1" x14ac:dyDescent="0.25">
      <c r="A261" s="1"/>
      <c r="B261" s="1"/>
      <c r="C261" s="1"/>
      <c r="D261" s="1"/>
      <c r="E261" s="1"/>
      <c r="F261" s="3"/>
      <c r="G261" s="1"/>
      <c r="H261" s="1"/>
      <c r="I261" s="3"/>
      <c r="J261" s="1"/>
      <c r="P261" s="1"/>
      <c r="Q261" s="2"/>
      <c r="R261" s="1"/>
      <c r="S261" s="1"/>
      <c r="T261" s="3"/>
      <c r="U261" s="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75" customHeight="1" x14ac:dyDescent="0.25">
      <c r="A262" s="1"/>
      <c r="B262" s="1"/>
      <c r="C262" s="1"/>
      <c r="D262" s="1"/>
      <c r="E262" s="1"/>
      <c r="F262" s="3"/>
      <c r="G262" s="1"/>
      <c r="H262" s="1"/>
      <c r="I262" s="3"/>
      <c r="J262" s="1"/>
      <c r="P262" s="1"/>
      <c r="Q262" s="2"/>
      <c r="R262" s="1"/>
      <c r="S262" s="1"/>
      <c r="T262" s="3"/>
      <c r="U262" s="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75" customHeight="1" x14ac:dyDescent="0.25">
      <c r="A263" s="1"/>
      <c r="B263" s="1"/>
      <c r="C263" s="1"/>
      <c r="D263" s="1"/>
      <c r="E263" s="1"/>
      <c r="F263" s="3"/>
      <c r="G263" s="1"/>
      <c r="H263" s="1"/>
      <c r="I263" s="3"/>
      <c r="J263" s="1"/>
      <c r="P263" s="1"/>
      <c r="Q263" s="2"/>
      <c r="R263" s="1"/>
      <c r="S263" s="1"/>
      <c r="T263" s="3"/>
      <c r="U263" s="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75" customHeight="1" x14ac:dyDescent="0.25">
      <c r="A264" s="1"/>
      <c r="B264" s="1"/>
      <c r="C264" s="1"/>
      <c r="D264" s="1"/>
      <c r="E264" s="1"/>
      <c r="F264" s="3"/>
      <c r="G264" s="1"/>
      <c r="H264" s="1"/>
      <c r="I264" s="3"/>
      <c r="J264" s="1"/>
      <c r="P264" s="1"/>
      <c r="Q264" s="2"/>
      <c r="R264" s="1"/>
      <c r="S264" s="1"/>
      <c r="T264" s="3"/>
      <c r="U264" s="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75" customHeight="1" x14ac:dyDescent="0.25">
      <c r="A265" s="1"/>
      <c r="B265" s="1"/>
      <c r="C265" s="1"/>
      <c r="D265" s="1"/>
      <c r="E265" s="1"/>
      <c r="F265" s="3"/>
      <c r="G265" s="1"/>
      <c r="H265" s="1"/>
      <c r="I265" s="3"/>
      <c r="J265" s="1"/>
      <c r="P265" s="1"/>
      <c r="Q265" s="2"/>
      <c r="R265" s="1"/>
      <c r="S265" s="1"/>
      <c r="T265" s="3"/>
      <c r="U265" s="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75" customHeight="1" x14ac:dyDescent="0.25">
      <c r="A266" s="1"/>
      <c r="B266" s="1"/>
      <c r="C266" s="1"/>
      <c r="D266" s="1"/>
      <c r="E266" s="1"/>
      <c r="F266" s="3"/>
      <c r="G266" s="1"/>
      <c r="H266" s="1"/>
      <c r="I266" s="3"/>
      <c r="J266" s="1"/>
      <c r="P266" s="1"/>
      <c r="Q266" s="2"/>
      <c r="R266" s="1"/>
      <c r="S266" s="1"/>
      <c r="T266" s="3"/>
      <c r="U266" s="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75" customHeight="1" x14ac:dyDescent="0.25">
      <c r="A267" s="1"/>
      <c r="B267" s="1"/>
      <c r="C267" s="1"/>
      <c r="D267" s="1"/>
      <c r="E267" s="1"/>
      <c r="F267" s="3"/>
      <c r="G267" s="1"/>
      <c r="H267" s="1"/>
      <c r="I267" s="3"/>
      <c r="J267" s="1"/>
      <c r="P267" s="1"/>
      <c r="Q267" s="2"/>
      <c r="R267" s="1"/>
      <c r="S267" s="1"/>
      <c r="T267" s="3"/>
      <c r="U267" s="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75" customHeight="1" x14ac:dyDescent="0.25">
      <c r="A268" s="1"/>
      <c r="B268" s="1"/>
      <c r="C268" s="1"/>
      <c r="D268" s="1"/>
      <c r="E268" s="1"/>
      <c r="F268" s="3"/>
      <c r="G268" s="1"/>
      <c r="H268" s="1"/>
      <c r="I268" s="3"/>
      <c r="J268" s="1"/>
      <c r="P268" s="1"/>
      <c r="Q268" s="2"/>
      <c r="R268" s="1"/>
      <c r="S268" s="1"/>
      <c r="T268" s="3"/>
      <c r="U268" s="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75" customHeight="1" x14ac:dyDescent="0.25">
      <c r="A269" s="1"/>
      <c r="B269" s="1"/>
      <c r="C269" s="1"/>
      <c r="D269" s="1"/>
      <c r="E269" s="1"/>
      <c r="F269" s="3"/>
      <c r="G269" s="1"/>
      <c r="H269" s="1"/>
      <c r="I269" s="3"/>
      <c r="J269" s="1"/>
      <c r="P269" s="1"/>
      <c r="Q269" s="2"/>
      <c r="R269" s="1"/>
      <c r="S269" s="1"/>
      <c r="T269" s="3"/>
      <c r="U269" s="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75" customHeight="1" x14ac:dyDescent="0.25">
      <c r="A270" s="1"/>
      <c r="B270" s="1"/>
      <c r="C270" s="1"/>
      <c r="D270" s="1"/>
      <c r="E270" s="1"/>
      <c r="F270" s="3"/>
      <c r="G270" s="1"/>
      <c r="H270" s="1"/>
      <c r="I270" s="3"/>
      <c r="J270" s="1"/>
      <c r="P270" s="1"/>
      <c r="Q270" s="2"/>
      <c r="R270" s="1"/>
      <c r="S270" s="1"/>
      <c r="T270" s="3"/>
      <c r="U270" s="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75" customHeight="1" x14ac:dyDescent="0.25">
      <c r="A271" s="1"/>
      <c r="B271" s="1"/>
      <c r="C271" s="1"/>
      <c r="D271" s="1"/>
      <c r="E271" s="1"/>
      <c r="F271" s="3"/>
      <c r="G271" s="1"/>
      <c r="H271" s="1"/>
      <c r="I271" s="3"/>
      <c r="J271" s="1"/>
      <c r="P271" s="1"/>
      <c r="Q271" s="2"/>
      <c r="R271" s="1"/>
      <c r="S271" s="1"/>
      <c r="T271" s="3"/>
      <c r="U271" s="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75" customHeight="1" x14ac:dyDescent="0.25">
      <c r="A272" s="1"/>
      <c r="B272" s="1"/>
      <c r="C272" s="1"/>
      <c r="D272" s="1"/>
      <c r="E272" s="1"/>
      <c r="F272" s="3"/>
      <c r="G272" s="1"/>
      <c r="H272" s="1"/>
      <c r="I272" s="3"/>
      <c r="J272" s="1"/>
      <c r="P272" s="1"/>
      <c r="Q272" s="2"/>
      <c r="R272" s="1"/>
      <c r="S272" s="1"/>
      <c r="T272" s="3"/>
      <c r="U272" s="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75" customHeight="1" x14ac:dyDescent="0.25">
      <c r="A273" s="1"/>
      <c r="B273" s="1"/>
      <c r="C273" s="1"/>
      <c r="D273" s="1"/>
      <c r="E273" s="1"/>
      <c r="F273" s="3"/>
      <c r="G273" s="1"/>
      <c r="H273" s="1"/>
      <c r="I273" s="3"/>
      <c r="J273" s="1"/>
      <c r="P273" s="1"/>
      <c r="Q273" s="2"/>
      <c r="R273" s="1"/>
      <c r="S273" s="1"/>
      <c r="T273" s="3"/>
      <c r="U273" s="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75" customHeight="1" x14ac:dyDescent="0.25">
      <c r="A274" s="1"/>
      <c r="B274" s="1"/>
      <c r="C274" s="1"/>
      <c r="D274" s="1"/>
      <c r="E274" s="1"/>
      <c r="F274" s="3"/>
      <c r="G274" s="1"/>
      <c r="H274" s="1"/>
      <c r="I274" s="3"/>
      <c r="J274" s="1"/>
      <c r="P274" s="1"/>
      <c r="Q274" s="2"/>
      <c r="R274" s="1"/>
      <c r="S274" s="1"/>
      <c r="T274" s="3"/>
      <c r="U274" s="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75" customHeight="1" x14ac:dyDescent="0.25">
      <c r="A275" s="1"/>
      <c r="B275" s="1"/>
      <c r="C275" s="1"/>
      <c r="D275" s="1"/>
      <c r="E275" s="1"/>
      <c r="F275" s="3"/>
      <c r="G275" s="1"/>
      <c r="H275" s="1"/>
      <c r="I275" s="3"/>
      <c r="J275" s="1"/>
      <c r="P275" s="1"/>
      <c r="Q275" s="2"/>
      <c r="R275" s="1"/>
      <c r="S275" s="1"/>
      <c r="T275" s="3"/>
      <c r="U275" s="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75" customHeight="1" x14ac:dyDescent="0.25">
      <c r="A276" s="1"/>
      <c r="B276" s="1"/>
      <c r="C276" s="1"/>
      <c r="D276" s="1"/>
      <c r="E276" s="1"/>
      <c r="F276" s="3"/>
      <c r="G276" s="1"/>
      <c r="H276" s="1"/>
      <c r="I276" s="3"/>
      <c r="J276" s="1"/>
      <c r="P276" s="1"/>
      <c r="Q276" s="2"/>
      <c r="R276" s="1"/>
      <c r="S276" s="1"/>
      <c r="T276" s="3"/>
      <c r="U276" s="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75" customHeight="1" x14ac:dyDescent="0.25">
      <c r="A277" s="1"/>
      <c r="B277" s="1"/>
      <c r="C277" s="1"/>
      <c r="D277" s="1"/>
      <c r="E277" s="1"/>
      <c r="F277" s="3"/>
      <c r="G277" s="1"/>
      <c r="H277" s="1"/>
      <c r="I277" s="3"/>
      <c r="J277" s="1"/>
      <c r="P277" s="1"/>
      <c r="Q277" s="2"/>
      <c r="R277" s="1"/>
      <c r="S277" s="1"/>
      <c r="T277" s="3"/>
      <c r="U277" s="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75" customHeight="1" x14ac:dyDescent="0.25">
      <c r="A278" s="1"/>
      <c r="B278" s="1"/>
      <c r="C278" s="1"/>
      <c r="D278" s="1"/>
      <c r="E278" s="1"/>
      <c r="F278" s="3"/>
      <c r="G278" s="1"/>
      <c r="H278" s="1"/>
      <c r="I278" s="3"/>
      <c r="J278" s="1"/>
      <c r="P278" s="1"/>
      <c r="Q278" s="2"/>
      <c r="R278" s="1"/>
      <c r="S278" s="1"/>
      <c r="T278" s="3"/>
      <c r="U278" s="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75" customHeight="1" x14ac:dyDescent="0.25">
      <c r="A279" s="1"/>
      <c r="B279" s="1"/>
      <c r="C279" s="1"/>
      <c r="D279" s="1"/>
      <c r="E279" s="1"/>
      <c r="F279" s="3"/>
      <c r="G279" s="1"/>
      <c r="H279" s="1"/>
      <c r="I279" s="3"/>
      <c r="J279" s="1"/>
      <c r="P279" s="1"/>
      <c r="Q279" s="2"/>
      <c r="R279" s="1"/>
      <c r="S279" s="1"/>
      <c r="T279" s="3"/>
      <c r="U279" s="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75" customHeight="1" x14ac:dyDescent="0.25">
      <c r="A280" s="1"/>
      <c r="B280" s="1"/>
      <c r="C280" s="1"/>
      <c r="D280" s="1"/>
      <c r="E280" s="1"/>
      <c r="F280" s="3"/>
      <c r="G280" s="1"/>
      <c r="H280" s="1"/>
      <c r="I280" s="3"/>
      <c r="J280" s="1"/>
      <c r="P280" s="1"/>
      <c r="Q280" s="2"/>
      <c r="R280" s="1"/>
      <c r="S280" s="1"/>
      <c r="T280" s="3"/>
      <c r="U280" s="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75" customHeight="1" x14ac:dyDescent="0.25">
      <c r="A281" s="1"/>
      <c r="B281" s="1"/>
      <c r="C281" s="1"/>
      <c r="D281" s="1"/>
      <c r="E281" s="1"/>
      <c r="F281" s="3"/>
      <c r="G281" s="1"/>
      <c r="H281" s="1"/>
      <c r="I281" s="3"/>
      <c r="J281" s="1"/>
      <c r="P281" s="1"/>
      <c r="Q281" s="2"/>
      <c r="R281" s="1"/>
      <c r="S281" s="1"/>
      <c r="T281" s="3"/>
      <c r="U281" s="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75" customHeight="1" x14ac:dyDescent="0.25">
      <c r="A282" s="1"/>
      <c r="B282" s="1"/>
      <c r="C282" s="1"/>
      <c r="D282" s="1"/>
      <c r="E282" s="1"/>
      <c r="F282" s="3"/>
      <c r="G282" s="1"/>
      <c r="H282" s="1"/>
      <c r="I282" s="3"/>
      <c r="J282" s="1"/>
      <c r="P282" s="1"/>
      <c r="Q282" s="2"/>
      <c r="R282" s="1"/>
      <c r="S282" s="1"/>
      <c r="T282" s="3"/>
      <c r="U282" s="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75" customHeight="1" x14ac:dyDescent="0.25">
      <c r="A283" s="1"/>
      <c r="B283" s="1"/>
      <c r="C283" s="1"/>
      <c r="D283" s="1"/>
      <c r="E283" s="1"/>
      <c r="F283" s="3"/>
      <c r="G283" s="1"/>
      <c r="H283" s="1"/>
      <c r="I283" s="3"/>
      <c r="J283" s="1"/>
      <c r="P283" s="1"/>
      <c r="Q283" s="2"/>
      <c r="R283" s="1"/>
      <c r="S283" s="1"/>
      <c r="T283" s="3"/>
      <c r="U283" s="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75" customHeight="1" x14ac:dyDescent="0.25">
      <c r="A284" s="1"/>
      <c r="B284" s="1"/>
      <c r="C284" s="1"/>
      <c r="D284" s="1"/>
      <c r="E284" s="1"/>
      <c r="F284" s="3"/>
      <c r="G284" s="1"/>
      <c r="H284" s="1"/>
      <c r="I284" s="3"/>
      <c r="J284" s="1"/>
      <c r="P284" s="1"/>
      <c r="Q284" s="2"/>
      <c r="R284" s="1"/>
      <c r="S284" s="1"/>
      <c r="T284" s="3"/>
      <c r="U284" s="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75" customHeight="1" x14ac:dyDescent="0.25">
      <c r="A285" s="1"/>
      <c r="B285" s="1"/>
      <c r="C285" s="1"/>
      <c r="D285" s="1"/>
      <c r="E285" s="1"/>
      <c r="F285" s="3"/>
      <c r="G285" s="1"/>
      <c r="H285" s="1"/>
      <c r="I285" s="3"/>
      <c r="J285" s="1"/>
      <c r="P285" s="1"/>
      <c r="Q285" s="2"/>
      <c r="R285" s="1"/>
      <c r="S285" s="1"/>
      <c r="T285" s="3"/>
      <c r="U285" s="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75" customHeight="1" x14ac:dyDescent="0.25">
      <c r="A286" s="1"/>
      <c r="B286" s="1"/>
      <c r="C286" s="1"/>
      <c r="D286" s="1"/>
      <c r="E286" s="1"/>
      <c r="F286" s="3"/>
      <c r="G286" s="1"/>
      <c r="H286" s="1"/>
      <c r="I286" s="3"/>
      <c r="J286" s="1"/>
      <c r="P286" s="1"/>
      <c r="Q286" s="2"/>
      <c r="R286" s="1"/>
      <c r="S286" s="1"/>
      <c r="T286" s="3"/>
      <c r="U286" s="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75" customHeight="1" x14ac:dyDescent="0.25">
      <c r="A287" s="1"/>
      <c r="B287" s="1"/>
      <c r="C287" s="1"/>
      <c r="D287" s="1"/>
      <c r="E287" s="1"/>
      <c r="F287" s="3"/>
      <c r="G287" s="1"/>
      <c r="H287" s="1"/>
      <c r="I287" s="3"/>
      <c r="J287" s="1"/>
      <c r="P287" s="1"/>
      <c r="Q287" s="2"/>
      <c r="R287" s="1"/>
      <c r="S287" s="1"/>
      <c r="T287" s="3"/>
      <c r="U287" s="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75" customHeight="1" x14ac:dyDescent="0.25">
      <c r="A288" s="1"/>
      <c r="B288" s="1"/>
      <c r="C288" s="1"/>
      <c r="D288" s="1"/>
      <c r="E288" s="1"/>
      <c r="F288" s="3"/>
      <c r="G288" s="1"/>
      <c r="H288" s="1"/>
      <c r="I288" s="3"/>
      <c r="J288" s="1"/>
      <c r="P288" s="1"/>
      <c r="Q288" s="2"/>
      <c r="R288" s="1"/>
      <c r="S288" s="1"/>
      <c r="T288" s="3"/>
      <c r="U288" s="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75" customHeight="1" x14ac:dyDescent="0.25">
      <c r="A289" s="1"/>
      <c r="B289" s="1"/>
      <c r="C289" s="1"/>
      <c r="D289" s="1"/>
      <c r="E289" s="1"/>
      <c r="F289" s="3"/>
      <c r="G289" s="1"/>
      <c r="H289" s="1"/>
      <c r="I289" s="3"/>
      <c r="J289" s="1"/>
      <c r="P289" s="1"/>
      <c r="Q289" s="2"/>
      <c r="R289" s="1"/>
      <c r="S289" s="1"/>
      <c r="T289" s="3"/>
      <c r="U289" s="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75" customHeight="1" x14ac:dyDescent="0.25">
      <c r="A290" s="1"/>
      <c r="B290" s="1"/>
      <c r="C290" s="1"/>
      <c r="D290" s="1"/>
      <c r="E290" s="1"/>
      <c r="F290" s="3"/>
      <c r="G290" s="1"/>
      <c r="H290" s="1"/>
      <c r="I290" s="3"/>
      <c r="J290" s="1"/>
      <c r="P290" s="1"/>
      <c r="Q290" s="2"/>
      <c r="R290" s="1"/>
      <c r="S290" s="1"/>
      <c r="T290" s="3"/>
      <c r="U290" s="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75" customHeight="1" x14ac:dyDescent="0.25">
      <c r="A291" s="1"/>
      <c r="B291" s="1"/>
      <c r="C291" s="1"/>
      <c r="D291" s="1"/>
      <c r="E291" s="1"/>
      <c r="F291" s="3"/>
      <c r="G291" s="1"/>
      <c r="H291" s="1"/>
      <c r="I291" s="3"/>
      <c r="J291" s="1"/>
      <c r="P291" s="1"/>
      <c r="Q291" s="2"/>
      <c r="R291" s="1"/>
      <c r="S291" s="1"/>
      <c r="T291" s="3"/>
      <c r="U291" s="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75" customHeight="1" x14ac:dyDescent="0.25">
      <c r="A292" s="1"/>
      <c r="B292" s="1"/>
      <c r="C292" s="1"/>
      <c r="D292" s="1"/>
      <c r="E292" s="1"/>
      <c r="F292" s="3"/>
      <c r="G292" s="1"/>
      <c r="H292" s="1"/>
      <c r="I292" s="3"/>
      <c r="J292" s="1"/>
      <c r="P292" s="1"/>
      <c r="Q292" s="2"/>
      <c r="R292" s="1"/>
      <c r="S292" s="1"/>
      <c r="T292" s="3"/>
      <c r="U292" s="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75" customHeight="1" x14ac:dyDescent="0.25">
      <c r="A293" s="1"/>
      <c r="B293" s="1"/>
      <c r="C293" s="1"/>
      <c r="D293" s="1"/>
      <c r="E293" s="1"/>
      <c r="F293" s="3"/>
      <c r="G293" s="1"/>
      <c r="H293" s="1"/>
      <c r="I293" s="3"/>
      <c r="J293" s="1"/>
      <c r="P293" s="1"/>
      <c r="Q293" s="2"/>
      <c r="R293" s="1"/>
      <c r="S293" s="1"/>
      <c r="T293" s="3"/>
      <c r="U293" s="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75" customHeight="1" x14ac:dyDescent="0.25">
      <c r="A294" s="1"/>
      <c r="B294" s="1"/>
      <c r="C294" s="1"/>
      <c r="D294" s="1"/>
      <c r="E294" s="1"/>
      <c r="F294" s="3"/>
      <c r="G294" s="1"/>
      <c r="H294" s="1"/>
      <c r="I294" s="3"/>
      <c r="J294" s="1"/>
      <c r="P294" s="1"/>
      <c r="Q294" s="2"/>
      <c r="R294" s="1"/>
      <c r="S294" s="1"/>
      <c r="T294" s="3"/>
      <c r="U294" s="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75" customHeight="1" x14ac:dyDescent="0.25">
      <c r="A295" s="1"/>
      <c r="B295" s="1"/>
      <c r="C295" s="1"/>
      <c r="D295" s="1"/>
      <c r="E295" s="1"/>
      <c r="F295" s="3"/>
      <c r="G295" s="1"/>
      <c r="H295" s="1"/>
      <c r="I295" s="3"/>
      <c r="J295" s="1"/>
      <c r="P295" s="1"/>
      <c r="Q295" s="2"/>
      <c r="R295" s="1"/>
      <c r="S295" s="1"/>
      <c r="T295" s="3"/>
      <c r="U295" s="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75" customHeight="1" x14ac:dyDescent="0.25">
      <c r="A296" s="1"/>
      <c r="B296" s="1"/>
      <c r="C296" s="1"/>
      <c r="D296" s="1"/>
      <c r="E296" s="1"/>
      <c r="F296" s="3"/>
      <c r="G296" s="1"/>
      <c r="H296" s="1"/>
      <c r="I296" s="3"/>
      <c r="J296" s="1"/>
      <c r="P296" s="1"/>
      <c r="Q296" s="2"/>
      <c r="R296" s="1"/>
      <c r="S296" s="1"/>
      <c r="T296" s="3"/>
      <c r="U296" s="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75" customHeight="1" x14ac:dyDescent="0.25">
      <c r="A297" s="1"/>
      <c r="B297" s="1"/>
      <c r="C297" s="1"/>
      <c r="D297" s="1"/>
      <c r="E297" s="1"/>
      <c r="F297" s="3"/>
      <c r="G297" s="1"/>
      <c r="H297" s="1"/>
      <c r="I297" s="3"/>
      <c r="J297" s="1"/>
      <c r="P297" s="1"/>
      <c r="Q297" s="2"/>
      <c r="R297" s="1"/>
      <c r="S297" s="1"/>
      <c r="T297" s="3"/>
      <c r="U297" s="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75" customHeight="1" x14ac:dyDescent="0.25">
      <c r="A298" s="1"/>
      <c r="B298" s="1"/>
      <c r="C298" s="1"/>
      <c r="D298" s="1"/>
      <c r="E298" s="1"/>
      <c r="F298" s="3"/>
      <c r="G298" s="1"/>
      <c r="H298" s="1"/>
      <c r="I298" s="3"/>
      <c r="J298" s="1"/>
      <c r="P298" s="1"/>
      <c r="Q298" s="2"/>
      <c r="R298" s="1"/>
      <c r="S298" s="1"/>
      <c r="T298" s="3"/>
      <c r="U298" s="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75" customHeight="1" x14ac:dyDescent="0.25">
      <c r="A299" s="1"/>
      <c r="B299" s="1"/>
      <c r="C299" s="1"/>
      <c r="D299" s="1"/>
      <c r="E299" s="1"/>
      <c r="F299" s="3"/>
      <c r="G299" s="1"/>
      <c r="H299" s="1"/>
      <c r="I299" s="3"/>
      <c r="J299" s="1"/>
      <c r="P299" s="1"/>
      <c r="Q299" s="2"/>
      <c r="R299" s="1"/>
      <c r="S299" s="1"/>
      <c r="T299" s="3"/>
      <c r="U299" s="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75" customHeight="1" x14ac:dyDescent="0.25">
      <c r="A300" s="1"/>
      <c r="B300" s="1"/>
      <c r="C300" s="1"/>
      <c r="D300" s="1"/>
      <c r="E300" s="1"/>
      <c r="F300" s="3"/>
      <c r="G300" s="1"/>
      <c r="H300" s="1"/>
      <c r="I300" s="3"/>
      <c r="J300" s="1"/>
      <c r="P300" s="1"/>
      <c r="Q300" s="2"/>
      <c r="R300" s="1"/>
      <c r="S300" s="1"/>
      <c r="T300" s="3"/>
      <c r="U300" s="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75" customHeight="1" x14ac:dyDescent="0.25">
      <c r="A301" s="1"/>
      <c r="B301" s="1"/>
      <c r="C301" s="1"/>
      <c r="D301" s="1"/>
      <c r="E301" s="1"/>
      <c r="F301" s="3"/>
      <c r="G301" s="1"/>
      <c r="H301" s="1"/>
      <c r="I301" s="3"/>
      <c r="J301" s="1"/>
      <c r="P301" s="1"/>
      <c r="Q301" s="2"/>
      <c r="R301" s="1"/>
      <c r="S301" s="1"/>
      <c r="T301" s="3"/>
      <c r="U301" s="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75" customHeight="1" x14ac:dyDescent="0.25">
      <c r="A302" s="1"/>
      <c r="B302" s="1"/>
      <c r="C302" s="1"/>
      <c r="D302" s="1"/>
      <c r="E302" s="1"/>
      <c r="F302" s="3"/>
      <c r="G302" s="1"/>
      <c r="H302" s="1"/>
      <c r="I302" s="3"/>
      <c r="J302" s="1"/>
      <c r="P302" s="1"/>
      <c r="Q302" s="2"/>
      <c r="R302" s="1"/>
      <c r="S302" s="1"/>
      <c r="T302" s="3"/>
      <c r="U302" s="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75" customHeight="1" x14ac:dyDescent="0.25">
      <c r="A303" s="1"/>
      <c r="B303" s="1"/>
      <c r="C303" s="1"/>
      <c r="D303" s="1"/>
      <c r="E303" s="1"/>
      <c r="F303" s="3"/>
      <c r="G303" s="1"/>
      <c r="H303" s="1"/>
      <c r="I303" s="3"/>
      <c r="J303" s="1"/>
      <c r="P303" s="1"/>
      <c r="Q303" s="2"/>
      <c r="R303" s="1"/>
      <c r="S303" s="1"/>
      <c r="T303" s="3"/>
      <c r="U303" s="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75" customHeight="1" x14ac:dyDescent="0.25">
      <c r="A304" s="1"/>
      <c r="B304" s="1"/>
      <c r="C304" s="1"/>
      <c r="D304" s="1"/>
      <c r="E304" s="1"/>
      <c r="F304" s="3"/>
      <c r="G304" s="1"/>
      <c r="H304" s="1"/>
      <c r="I304" s="3"/>
      <c r="J304" s="1"/>
      <c r="P304" s="1"/>
      <c r="Q304" s="2"/>
      <c r="R304" s="1"/>
      <c r="S304" s="1"/>
      <c r="T304" s="3"/>
      <c r="U304" s="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75" customHeight="1" x14ac:dyDescent="0.25">
      <c r="A305" s="1"/>
      <c r="B305" s="1"/>
      <c r="C305" s="1"/>
      <c r="D305" s="1"/>
      <c r="E305" s="1"/>
      <c r="F305" s="3"/>
      <c r="G305" s="1"/>
      <c r="H305" s="1"/>
      <c r="I305" s="3"/>
      <c r="J305" s="1"/>
      <c r="P305" s="1"/>
      <c r="Q305" s="2"/>
      <c r="R305" s="1"/>
      <c r="S305" s="1"/>
      <c r="T305" s="3"/>
      <c r="U305" s="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75" customHeight="1" x14ac:dyDescent="0.25">
      <c r="A306" s="1"/>
      <c r="B306" s="1"/>
      <c r="C306" s="1"/>
      <c r="D306" s="1"/>
      <c r="E306" s="1"/>
      <c r="F306" s="3"/>
      <c r="G306" s="1"/>
      <c r="H306" s="1"/>
      <c r="I306" s="3"/>
      <c r="J306" s="1"/>
      <c r="P306" s="1"/>
      <c r="Q306" s="2"/>
      <c r="R306" s="1"/>
      <c r="S306" s="1"/>
      <c r="T306" s="3"/>
      <c r="U306" s="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75" customHeight="1" x14ac:dyDescent="0.25">
      <c r="A307" s="1"/>
      <c r="B307" s="1"/>
      <c r="C307" s="1"/>
      <c r="D307" s="1"/>
      <c r="E307" s="1"/>
      <c r="F307" s="3"/>
      <c r="G307" s="1"/>
      <c r="H307" s="1"/>
      <c r="I307" s="3"/>
      <c r="J307" s="1"/>
      <c r="P307" s="1"/>
      <c r="Q307" s="2"/>
      <c r="R307" s="1"/>
      <c r="S307" s="1"/>
      <c r="T307" s="3"/>
      <c r="U307" s="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75" customHeight="1" x14ac:dyDescent="0.25">
      <c r="A308" s="1"/>
      <c r="B308" s="1"/>
      <c r="C308" s="1"/>
      <c r="D308" s="1"/>
      <c r="E308" s="1"/>
      <c r="F308" s="3"/>
      <c r="G308" s="1"/>
      <c r="H308" s="1"/>
      <c r="I308" s="3"/>
      <c r="J308" s="1"/>
      <c r="P308" s="1"/>
      <c r="Q308" s="2"/>
      <c r="R308" s="1"/>
      <c r="S308" s="1"/>
      <c r="T308" s="3"/>
      <c r="U308" s="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75" customHeight="1" x14ac:dyDescent="0.25">
      <c r="A309" s="1"/>
      <c r="B309" s="1"/>
      <c r="C309" s="1"/>
      <c r="D309" s="1"/>
      <c r="E309" s="1"/>
      <c r="F309" s="3"/>
      <c r="G309" s="1"/>
      <c r="H309" s="1"/>
      <c r="I309" s="3"/>
      <c r="J309" s="1"/>
      <c r="P309" s="1"/>
      <c r="Q309" s="2"/>
      <c r="R309" s="1"/>
      <c r="S309" s="1"/>
      <c r="T309" s="3"/>
      <c r="U309" s="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75" customHeight="1" x14ac:dyDescent="0.25">
      <c r="A310" s="1"/>
      <c r="B310" s="1"/>
      <c r="C310" s="1"/>
      <c r="D310" s="1"/>
      <c r="E310" s="1"/>
      <c r="F310" s="3"/>
      <c r="G310" s="1"/>
      <c r="H310" s="1"/>
      <c r="I310" s="3"/>
      <c r="J310" s="1"/>
      <c r="P310" s="1"/>
      <c r="Q310" s="2"/>
      <c r="R310" s="1"/>
      <c r="S310" s="1"/>
      <c r="T310" s="3"/>
      <c r="U310" s="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75" customHeight="1" x14ac:dyDescent="0.25">
      <c r="A311" s="1"/>
      <c r="B311" s="1"/>
      <c r="C311" s="1"/>
      <c r="D311" s="1"/>
      <c r="E311" s="1"/>
      <c r="F311" s="3"/>
      <c r="G311" s="1"/>
      <c r="H311" s="1"/>
      <c r="I311" s="3"/>
      <c r="J311" s="1"/>
      <c r="P311" s="1"/>
      <c r="Q311" s="2"/>
      <c r="R311" s="1"/>
      <c r="S311" s="1"/>
      <c r="T311" s="3"/>
      <c r="U311" s="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75" customHeight="1" x14ac:dyDescent="0.25">
      <c r="A312" s="1"/>
      <c r="B312" s="1"/>
      <c r="C312" s="1"/>
      <c r="D312" s="1"/>
      <c r="E312" s="1"/>
      <c r="F312" s="3"/>
      <c r="G312" s="1"/>
      <c r="H312" s="1"/>
      <c r="I312" s="3"/>
      <c r="J312" s="1"/>
      <c r="P312" s="1"/>
      <c r="Q312" s="2"/>
      <c r="R312" s="1"/>
      <c r="S312" s="1"/>
      <c r="T312" s="3"/>
      <c r="U312" s="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75" customHeight="1" x14ac:dyDescent="0.25">
      <c r="A313" s="1"/>
      <c r="B313" s="1"/>
      <c r="C313" s="1"/>
      <c r="D313" s="1"/>
      <c r="E313" s="1"/>
      <c r="F313" s="3"/>
      <c r="G313" s="1"/>
      <c r="H313" s="1"/>
      <c r="I313" s="3"/>
      <c r="J313" s="1"/>
      <c r="P313" s="1"/>
      <c r="Q313" s="2"/>
      <c r="R313" s="1"/>
      <c r="S313" s="1"/>
      <c r="T313" s="3"/>
      <c r="U313" s="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75" customHeight="1" x14ac:dyDescent="0.25">
      <c r="A314" s="1"/>
      <c r="B314" s="1"/>
      <c r="C314" s="1"/>
      <c r="D314" s="1"/>
      <c r="E314" s="1"/>
      <c r="F314" s="3"/>
      <c r="G314" s="1"/>
      <c r="H314" s="1"/>
      <c r="I314" s="3"/>
      <c r="J314" s="1"/>
      <c r="P314" s="1"/>
      <c r="Q314" s="2"/>
      <c r="R314" s="1"/>
      <c r="S314" s="1"/>
      <c r="T314" s="3"/>
      <c r="U314" s="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75" customHeight="1" x14ac:dyDescent="0.25">
      <c r="A315" s="1"/>
      <c r="B315" s="1"/>
      <c r="C315" s="1"/>
      <c r="D315" s="1"/>
      <c r="E315" s="1"/>
      <c r="F315" s="3"/>
      <c r="G315" s="1"/>
      <c r="H315" s="1"/>
      <c r="I315" s="3"/>
      <c r="J315" s="1"/>
      <c r="P315" s="1"/>
      <c r="Q315" s="2"/>
      <c r="R315" s="1"/>
      <c r="S315" s="1"/>
      <c r="T315" s="3"/>
      <c r="U315" s="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75" customHeight="1" x14ac:dyDescent="0.25">
      <c r="A316" s="1"/>
      <c r="B316" s="1"/>
      <c r="C316" s="1"/>
      <c r="D316" s="1"/>
      <c r="E316" s="1"/>
      <c r="F316" s="3"/>
      <c r="G316" s="1"/>
      <c r="H316" s="1"/>
      <c r="I316" s="3"/>
      <c r="J316" s="1"/>
      <c r="P316" s="1"/>
      <c r="Q316" s="2"/>
      <c r="R316" s="1"/>
      <c r="S316" s="1"/>
      <c r="T316" s="3"/>
      <c r="U316" s="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75" customHeight="1" x14ac:dyDescent="0.25">
      <c r="A317" s="1"/>
      <c r="B317" s="1"/>
      <c r="C317" s="1"/>
      <c r="D317" s="1"/>
      <c r="E317" s="1"/>
      <c r="F317" s="3"/>
      <c r="G317" s="1"/>
      <c r="H317" s="1"/>
      <c r="I317" s="3"/>
      <c r="J317" s="1"/>
      <c r="P317" s="1"/>
      <c r="Q317" s="2"/>
      <c r="R317" s="1"/>
      <c r="S317" s="1"/>
      <c r="T317" s="3"/>
      <c r="U317" s="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75" customHeight="1" x14ac:dyDescent="0.25">
      <c r="A318" s="1"/>
      <c r="B318" s="1"/>
      <c r="C318" s="1"/>
      <c r="D318" s="1"/>
      <c r="E318" s="1"/>
      <c r="F318" s="3"/>
      <c r="G318" s="1"/>
      <c r="H318" s="1"/>
      <c r="I318" s="3"/>
      <c r="J318" s="1"/>
      <c r="P318" s="1"/>
      <c r="Q318" s="2"/>
      <c r="R318" s="1"/>
      <c r="S318" s="1"/>
      <c r="T318" s="3"/>
      <c r="U318" s="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75" customHeight="1" x14ac:dyDescent="0.25">
      <c r="A319" s="1"/>
      <c r="B319" s="1"/>
      <c r="C319" s="1"/>
      <c r="D319" s="1"/>
      <c r="E319" s="1"/>
      <c r="F319" s="3"/>
      <c r="G319" s="1"/>
      <c r="H319" s="1"/>
      <c r="I319" s="3"/>
      <c r="J319" s="1"/>
      <c r="P319" s="1"/>
      <c r="Q319" s="2"/>
      <c r="R319" s="1"/>
      <c r="S319" s="1"/>
      <c r="T319" s="3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75" customHeight="1" x14ac:dyDescent="0.25">
      <c r="A320" s="1"/>
      <c r="B320" s="1"/>
      <c r="C320" s="1"/>
      <c r="D320" s="1"/>
      <c r="E320" s="1"/>
      <c r="F320" s="3"/>
      <c r="G320" s="1"/>
      <c r="H320" s="1"/>
      <c r="I320" s="3"/>
      <c r="J320" s="1"/>
      <c r="P320" s="1"/>
      <c r="Q320" s="2"/>
      <c r="R320" s="1"/>
      <c r="S320" s="1"/>
      <c r="T320" s="3"/>
      <c r="U320" s="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75" customHeight="1" x14ac:dyDescent="0.25">
      <c r="A321" s="1"/>
      <c r="B321" s="1"/>
      <c r="C321" s="1"/>
      <c r="D321" s="1"/>
      <c r="E321" s="1"/>
      <c r="F321" s="3"/>
      <c r="G321" s="1"/>
      <c r="H321" s="1"/>
      <c r="I321" s="3"/>
      <c r="J321" s="1"/>
      <c r="P321" s="1"/>
      <c r="Q321" s="2"/>
      <c r="R321" s="1"/>
      <c r="S321" s="1"/>
      <c r="T321" s="3"/>
      <c r="U321" s="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75" customHeight="1" x14ac:dyDescent="0.25">
      <c r="A322" s="1"/>
      <c r="B322" s="1"/>
      <c r="C322" s="1"/>
      <c r="D322" s="1"/>
      <c r="E322" s="1"/>
      <c r="F322" s="3"/>
      <c r="G322" s="1"/>
      <c r="H322" s="1"/>
      <c r="I322" s="3"/>
      <c r="J322" s="1"/>
      <c r="P322" s="1"/>
      <c r="Q322" s="2"/>
      <c r="R322" s="1"/>
      <c r="S322" s="1"/>
      <c r="T322" s="3"/>
      <c r="U322" s="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75" customHeight="1" x14ac:dyDescent="0.25">
      <c r="A323" s="1"/>
      <c r="B323" s="1"/>
      <c r="C323" s="1"/>
      <c r="D323" s="1"/>
      <c r="E323" s="1"/>
      <c r="F323" s="3"/>
      <c r="G323" s="1"/>
      <c r="H323" s="1"/>
      <c r="I323" s="3"/>
      <c r="J323" s="1"/>
      <c r="P323" s="1"/>
      <c r="Q323" s="2"/>
      <c r="R323" s="1"/>
      <c r="S323" s="1"/>
      <c r="T323" s="3"/>
      <c r="U323" s="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75" customHeight="1" x14ac:dyDescent="0.25">
      <c r="A324" s="1"/>
      <c r="B324" s="1"/>
      <c r="C324" s="1"/>
      <c r="D324" s="1"/>
      <c r="E324" s="1"/>
      <c r="F324" s="3"/>
      <c r="G324" s="1"/>
      <c r="H324" s="1"/>
      <c r="I324" s="3"/>
      <c r="J324" s="1"/>
      <c r="P324" s="1"/>
      <c r="Q324" s="2"/>
      <c r="R324" s="1"/>
      <c r="S324" s="1"/>
      <c r="T324" s="3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75" customHeight="1" x14ac:dyDescent="0.25">
      <c r="A325" s="1"/>
      <c r="B325" s="1"/>
      <c r="C325" s="1"/>
      <c r="D325" s="1"/>
      <c r="E325" s="1"/>
      <c r="F325" s="3"/>
      <c r="G325" s="1"/>
      <c r="H325" s="1"/>
      <c r="I325" s="3"/>
      <c r="J325" s="1"/>
      <c r="P325" s="1"/>
      <c r="Q325" s="2"/>
      <c r="R325" s="1"/>
      <c r="S325" s="1"/>
      <c r="T325" s="3"/>
      <c r="U325" s="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75" customHeight="1" x14ac:dyDescent="0.25">
      <c r="A326" s="1"/>
      <c r="B326" s="1"/>
      <c r="C326" s="1"/>
      <c r="D326" s="1"/>
      <c r="E326" s="1"/>
      <c r="F326" s="3"/>
      <c r="G326" s="1"/>
      <c r="H326" s="1"/>
      <c r="I326" s="3"/>
      <c r="J326" s="1"/>
      <c r="P326" s="1"/>
      <c r="Q326" s="2"/>
      <c r="R326" s="1"/>
      <c r="S326" s="1"/>
      <c r="T326" s="3"/>
      <c r="U326" s="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75" customHeight="1" x14ac:dyDescent="0.25">
      <c r="A327" s="1"/>
      <c r="B327" s="1"/>
      <c r="C327" s="1"/>
      <c r="D327" s="1"/>
      <c r="E327" s="1"/>
      <c r="F327" s="3"/>
      <c r="G327" s="1"/>
      <c r="H327" s="1"/>
      <c r="I327" s="3"/>
      <c r="J327" s="1"/>
      <c r="P327" s="1"/>
      <c r="Q327" s="2"/>
      <c r="R327" s="1"/>
      <c r="S327" s="1"/>
      <c r="T327" s="3"/>
      <c r="U327" s="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75" customHeight="1" x14ac:dyDescent="0.25">
      <c r="A328" s="1"/>
      <c r="B328" s="1"/>
      <c r="C328" s="1"/>
      <c r="D328" s="1"/>
      <c r="E328" s="1"/>
      <c r="F328" s="3"/>
      <c r="G328" s="1"/>
      <c r="H328" s="1"/>
      <c r="I328" s="3"/>
      <c r="J328" s="1"/>
      <c r="P328" s="1"/>
      <c r="Q328" s="2"/>
      <c r="R328" s="1"/>
      <c r="S328" s="1"/>
      <c r="T328" s="3"/>
      <c r="U328" s="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75" customHeight="1" x14ac:dyDescent="0.25">
      <c r="A329" s="1"/>
      <c r="B329" s="1"/>
      <c r="C329" s="1"/>
      <c r="D329" s="1"/>
      <c r="E329" s="1"/>
      <c r="F329" s="3"/>
      <c r="G329" s="1"/>
      <c r="H329" s="1"/>
      <c r="I329" s="3"/>
      <c r="J329" s="1"/>
      <c r="P329" s="1"/>
      <c r="Q329" s="2"/>
      <c r="R329" s="1"/>
      <c r="S329" s="1"/>
      <c r="T329" s="3"/>
      <c r="U329" s="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75" customHeight="1" x14ac:dyDescent="0.25">
      <c r="A330" s="1"/>
      <c r="B330" s="1"/>
      <c r="C330" s="1"/>
      <c r="D330" s="1"/>
      <c r="E330" s="1"/>
      <c r="F330" s="3"/>
      <c r="G330" s="1"/>
      <c r="H330" s="1"/>
      <c r="I330" s="3"/>
      <c r="J330" s="1"/>
      <c r="P330" s="1"/>
      <c r="Q330" s="2"/>
      <c r="R330" s="1"/>
      <c r="S330" s="1"/>
      <c r="T330" s="3"/>
      <c r="U330" s="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75" customHeight="1" x14ac:dyDescent="0.25">
      <c r="A331" s="1"/>
      <c r="B331" s="1"/>
      <c r="C331" s="1"/>
      <c r="D331" s="1"/>
      <c r="E331" s="1"/>
      <c r="F331" s="3"/>
      <c r="G331" s="1"/>
      <c r="H331" s="1"/>
      <c r="I331" s="3"/>
      <c r="J331" s="1"/>
      <c r="P331" s="1"/>
      <c r="Q331" s="2"/>
      <c r="R331" s="1"/>
      <c r="S331" s="1"/>
      <c r="T331" s="3"/>
      <c r="U331" s="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75" customHeight="1" x14ac:dyDescent="0.25">
      <c r="A332" s="1"/>
      <c r="B332" s="1"/>
      <c r="C332" s="1"/>
      <c r="D332" s="1"/>
      <c r="E332" s="1"/>
      <c r="F332" s="3"/>
      <c r="G332" s="1"/>
      <c r="H332" s="1"/>
      <c r="I332" s="3"/>
      <c r="J332" s="1"/>
      <c r="P332" s="1"/>
      <c r="Q332" s="2"/>
      <c r="R332" s="1"/>
      <c r="S332" s="1"/>
      <c r="T332" s="3"/>
      <c r="U332" s="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75" customHeight="1" x14ac:dyDescent="0.25">
      <c r="A333" s="1"/>
      <c r="B333" s="1"/>
      <c r="C333" s="1"/>
      <c r="D333" s="1"/>
      <c r="E333" s="1"/>
      <c r="F333" s="3"/>
      <c r="G333" s="1"/>
      <c r="H333" s="1"/>
      <c r="I333" s="3"/>
      <c r="J333" s="1"/>
      <c r="P333" s="1"/>
      <c r="Q333" s="2"/>
      <c r="R333" s="1"/>
      <c r="S333" s="1"/>
      <c r="T333" s="3"/>
      <c r="U333" s="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75" customHeight="1" x14ac:dyDescent="0.25">
      <c r="A334" s="1"/>
      <c r="B334" s="1"/>
      <c r="C334" s="1"/>
      <c r="D334" s="1"/>
      <c r="E334" s="1"/>
      <c r="F334" s="3"/>
      <c r="G334" s="1"/>
      <c r="H334" s="1"/>
      <c r="I334" s="3"/>
      <c r="J334" s="1"/>
      <c r="P334" s="1"/>
      <c r="Q334" s="2"/>
      <c r="R334" s="1"/>
      <c r="S334" s="1"/>
      <c r="T334" s="3"/>
      <c r="U334" s="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75" customHeight="1" x14ac:dyDescent="0.25">
      <c r="A335" s="1"/>
      <c r="B335" s="1"/>
      <c r="C335" s="1"/>
      <c r="D335" s="1"/>
      <c r="E335" s="1"/>
      <c r="F335" s="3"/>
      <c r="G335" s="1"/>
      <c r="H335" s="1"/>
      <c r="I335" s="3"/>
      <c r="J335" s="1"/>
      <c r="P335" s="1"/>
      <c r="Q335" s="2"/>
      <c r="R335" s="1"/>
      <c r="S335" s="1"/>
      <c r="T335" s="3"/>
      <c r="U335" s="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75" customHeight="1" x14ac:dyDescent="0.25">
      <c r="A336" s="1"/>
      <c r="B336" s="1"/>
      <c r="C336" s="1"/>
      <c r="D336" s="1"/>
      <c r="E336" s="1"/>
      <c r="F336" s="3"/>
      <c r="G336" s="1"/>
      <c r="H336" s="1"/>
      <c r="I336" s="3"/>
      <c r="J336" s="1"/>
      <c r="P336" s="1"/>
      <c r="Q336" s="2"/>
      <c r="R336" s="1"/>
      <c r="S336" s="1"/>
      <c r="T336" s="3"/>
      <c r="U336" s="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75" customHeight="1" x14ac:dyDescent="0.25">
      <c r="A337" s="1"/>
      <c r="B337" s="1"/>
      <c r="C337" s="1"/>
      <c r="D337" s="1"/>
      <c r="E337" s="1"/>
      <c r="F337" s="3"/>
      <c r="G337" s="1"/>
      <c r="H337" s="1"/>
      <c r="I337" s="3"/>
      <c r="J337" s="1"/>
      <c r="P337" s="1"/>
      <c r="Q337" s="2"/>
      <c r="R337" s="1"/>
      <c r="S337" s="1"/>
      <c r="T337" s="3"/>
      <c r="U337" s="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75" customHeight="1" x14ac:dyDescent="0.25">
      <c r="A338" s="1"/>
      <c r="B338" s="1"/>
      <c r="C338" s="1"/>
      <c r="D338" s="1"/>
      <c r="E338" s="1"/>
      <c r="F338" s="3"/>
      <c r="G338" s="1"/>
      <c r="H338" s="1"/>
      <c r="I338" s="3"/>
      <c r="J338" s="1"/>
      <c r="P338" s="1"/>
      <c r="Q338" s="2"/>
      <c r="R338" s="1"/>
      <c r="S338" s="1"/>
      <c r="T338" s="3"/>
      <c r="U338" s="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75" customHeight="1" x14ac:dyDescent="0.25">
      <c r="A339" s="1"/>
      <c r="B339" s="1"/>
      <c r="C339" s="1"/>
      <c r="D339" s="1"/>
      <c r="E339" s="1"/>
      <c r="F339" s="3"/>
      <c r="G339" s="1"/>
      <c r="H339" s="1"/>
      <c r="I339" s="3"/>
      <c r="J339" s="1"/>
      <c r="P339" s="1"/>
      <c r="Q339" s="2"/>
      <c r="R339" s="1"/>
      <c r="S339" s="1"/>
      <c r="T339" s="3"/>
      <c r="U339" s="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75" customHeight="1" x14ac:dyDescent="0.25">
      <c r="A340" s="1"/>
      <c r="B340" s="1"/>
      <c r="C340" s="1"/>
      <c r="D340" s="1"/>
      <c r="E340" s="1"/>
      <c r="F340" s="3"/>
      <c r="G340" s="1"/>
      <c r="H340" s="1"/>
      <c r="I340" s="3"/>
      <c r="J340" s="1"/>
      <c r="P340" s="1"/>
      <c r="Q340" s="2"/>
      <c r="R340" s="1"/>
      <c r="S340" s="1"/>
      <c r="T340" s="3"/>
      <c r="U340" s="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75" customHeight="1" x14ac:dyDescent="0.25">
      <c r="A341" s="1"/>
      <c r="B341" s="1"/>
      <c r="C341" s="1"/>
      <c r="D341" s="1"/>
      <c r="E341" s="1"/>
      <c r="F341" s="3"/>
      <c r="G341" s="1"/>
      <c r="H341" s="1"/>
      <c r="I341" s="3"/>
      <c r="J341" s="1"/>
      <c r="P341" s="1"/>
      <c r="Q341" s="2"/>
      <c r="R341" s="1"/>
      <c r="S341" s="1"/>
      <c r="T341" s="3"/>
      <c r="U341" s="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75" customHeight="1" x14ac:dyDescent="0.25">
      <c r="A342" s="1"/>
      <c r="B342" s="1"/>
      <c r="C342" s="1"/>
      <c r="D342" s="1"/>
      <c r="E342" s="1"/>
      <c r="F342" s="3"/>
      <c r="G342" s="1"/>
      <c r="H342" s="1"/>
      <c r="I342" s="3"/>
      <c r="J342" s="1"/>
      <c r="P342" s="1"/>
      <c r="Q342" s="2"/>
      <c r="R342" s="1"/>
      <c r="S342" s="1"/>
      <c r="T342" s="3"/>
      <c r="U342" s="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75" customHeight="1" x14ac:dyDescent="0.25">
      <c r="A343" s="1"/>
      <c r="B343" s="1"/>
      <c r="C343" s="1"/>
      <c r="D343" s="1"/>
      <c r="E343" s="1"/>
      <c r="F343" s="3"/>
      <c r="G343" s="1"/>
      <c r="H343" s="1"/>
      <c r="I343" s="3"/>
      <c r="J343" s="1"/>
      <c r="P343" s="1"/>
      <c r="Q343" s="2"/>
      <c r="R343" s="1"/>
      <c r="S343" s="1"/>
      <c r="T343" s="3"/>
      <c r="U343" s="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75" customHeight="1" x14ac:dyDescent="0.25">
      <c r="A344" s="1"/>
      <c r="B344" s="1"/>
      <c r="C344" s="1"/>
      <c r="D344" s="1"/>
      <c r="E344" s="1"/>
      <c r="F344" s="3"/>
      <c r="G344" s="1"/>
      <c r="H344" s="1"/>
      <c r="I344" s="3"/>
      <c r="J344" s="1"/>
      <c r="P344" s="1"/>
      <c r="Q344" s="2"/>
      <c r="R344" s="1"/>
      <c r="S344" s="1"/>
      <c r="T344" s="3"/>
      <c r="U344" s="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75" customHeight="1" x14ac:dyDescent="0.25">
      <c r="A345" s="1"/>
      <c r="B345" s="1"/>
      <c r="C345" s="1"/>
      <c r="D345" s="1"/>
      <c r="E345" s="1"/>
      <c r="F345" s="3"/>
      <c r="G345" s="1"/>
      <c r="H345" s="1"/>
      <c r="I345" s="3"/>
      <c r="J345" s="1"/>
      <c r="P345" s="1"/>
      <c r="Q345" s="2"/>
      <c r="R345" s="1"/>
      <c r="S345" s="1"/>
      <c r="T345" s="3"/>
      <c r="U345" s="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75" customHeight="1" x14ac:dyDescent="0.25">
      <c r="A346" s="1"/>
      <c r="B346" s="1"/>
      <c r="C346" s="1"/>
      <c r="D346" s="1"/>
      <c r="E346" s="1"/>
      <c r="F346" s="3"/>
      <c r="G346" s="1"/>
      <c r="H346" s="1"/>
      <c r="I346" s="3"/>
      <c r="J346" s="1"/>
      <c r="P346" s="1"/>
      <c r="Q346" s="2"/>
      <c r="R346" s="1"/>
      <c r="S346" s="1"/>
      <c r="T346" s="3"/>
      <c r="U346" s="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75" customHeight="1" x14ac:dyDescent="0.25">
      <c r="A347" s="1"/>
      <c r="B347" s="1"/>
      <c r="C347" s="1"/>
      <c r="D347" s="1"/>
      <c r="E347" s="1"/>
      <c r="F347" s="3"/>
      <c r="G347" s="1"/>
      <c r="H347" s="1"/>
      <c r="I347" s="3"/>
      <c r="J347" s="1"/>
      <c r="P347" s="1"/>
      <c r="Q347" s="2"/>
      <c r="R347" s="1"/>
      <c r="S347" s="1"/>
      <c r="T347" s="3"/>
      <c r="U347" s="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75" customHeight="1" x14ac:dyDescent="0.25">
      <c r="A348" s="1"/>
      <c r="B348" s="1"/>
      <c r="C348" s="1"/>
      <c r="D348" s="1"/>
      <c r="E348" s="1"/>
      <c r="F348" s="3"/>
      <c r="G348" s="1"/>
      <c r="H348" s="1"/>
      <c r="I348" s="3"/>
      <c r="J348" s="1"/>
      <c r="P348" s="1"/>
      <c r="Q348" s="2"/>
      <c r="R348" s="1"/>
      <c r="S348" s="1"/>
      <c r="T348" s="3"/>
      <c r="U348" s="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75" customHeight="1" x14ac:dyDescent="0.25">
      <c r="A349" s="1"/>
      <c r="B349" s="1"/>
      <c r="C349" s="1"/>
      <c r="D349" s="1"/>
      <c r="E349" s="1"/>
      <c r="F349" s="3"/>
      <c r="G349" s="1"/>
      <c r="H349" s="1"/>
      <c r="I349" s="3"/>
      <c r="J349" s="1"/>
      <c r="P349" s="1"/>
      <c r="Q349" s="2"/>
      <c r="R349" s="1"/>
      <c r="S349" s="1"/>
      <c r="T349" s="3"/>
      <c r="U349" s="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75" customHeight="1" x14ac:dyDescent="0.25">
      <c r="A350" s="1"/>
      <c r="B350" s="1"/>
      <c r="C350" s="1"/>
      <c r="D350" s="1"/>
      <c r="E350" s="1"/>
      <c r="F350" s="3"/>
      <c r="G350" s="1"/>
      <c r="H350" s="1"/>
      <c r="I350" s="3"/>
      <c r="J350" s="1"/>
      <c r="P350" s="1"/>
      <c r="Q350" s="2"/>
      <c r="R350" s="1"/>
      <c r="S350" s="1"/>
      <c r="T350" s="3"/>
      <c r="U350" s="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75" customHeight="1" x14ac:dyDescent="0.25">
      <c r="A351" s="1"/>
      <c r="B351" s="1"/>
      <c r="C351" s="1"/>
      <c r="D351" s="1"/>
      <c r="E351" s="1"/>
      <c r="F351" s="3"/>
      <c r="G351" s="1"/>
      <c r="H351" s="1"/>
      <c r="I351" s="3"/>
      <c r="J351" s="1"/>
      <c r="P351" s="1"/>
      <c r="Q351" s="2"/>
      <c r="R351" s="1"/>
      <c r="S351" s="1"/>
      <c r="T351" s="3"/>
      <c r="U351" s="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75" customHeight="1" x14ac:dyDescent="0.25">
      <c r="A352" s="1"/>
      <c r="B352" s="1"/>
      <c r="C352" s="1"/>
      <c r="D352" s="1"/>
      <c r="E352" s="1"/>
      <c r="F352" s="3"/>
      <c r="G352" s="1"/>
      <c r="H352" s="1"/>
      <c r="I352" s="3"/>
      <c r="J352" s="1"/>
      <c r="P352" s="1"/>
      <c r="Q352" s="2"/>
      <c r="R352" s="1"/>
      <c r="S352" s="1"/>
      <c r="T352" s="3"/>
      <c r="U352" s="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75" customHeight="1" x14ac:dyDescent="0.25">
      <c r="A353" s="1"/>
      <c r="B353" s="1"/>
      <c r="C353" s="1"/>
      <c r="D353" s="1"/>
      <c r="E353" s="1"/>
      <c r="F353" s="3"/>
      <c r="G353" s="1"/>
      <c r="H353" s="1"/>
      <c r="I353" s="3"/>
      <c r="J353" s="1"/>
      <c r="P353" s="1"/>
      <c r="Q353" s="2"/>
      <c r="R353" s="1"/>
      <c r="S353" s="1"/>
      <c r="T353" s="3"/>
      <c r="U353" s="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75" customHeight="1" x14ac:dyDescent="0.25">
      <c r="A354" s="1"/>
      <c r="B354" s="1"/>
      <c r="C354" s="1"/>
      <c r="D354" s="1"/>
      <c r="E354" s="1"/>
      <c r="F354" s="3"/>
      <c r="G354" s="1"/>
      <c r="H354" s="1"/>
      <c r="I354" s="3"/>
      <c r="J354" s="1"/>
      <c r="P354" s="1"/>
      <c r="Q354" s="2"/>
      <c r="R354" s="1"/>
      <c r="S354" s="1"/>
      <c r="T354" s="3"/>
      <c r="U354" s="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75" customHeight="1" x14ac:dyDescent="0.25">
      <c r="A355" s="1"/>
      <c r="B355" s="1"/>
      <c r="C355" s="1"/>
      <c r="D355" s="1"/>
      <c r="E355" s="1"/>
      <c r="F355" s="3"/>
      <c r="G355" s="1"/>
      <c r="H355" s="1"/>
      <c r="I355" s="3"/>
      <c r="J355" s="1"/>
      <c r="P355" s="1"/>
      <c r="Q355" s="2"/>
      <c r="R355" s="1"/>
      <c r="S355" s="1"/>
      <c r="T355" s="3"/>
      <c r="U355" s="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75" customHeight="1" x14ac:dyDescent="0.25">
      <c r="A356" s="1"/>
      <c r="B356" s="1"/>
      <c r="C356" s="1"/>
      <c r="D356" s="1"/>
      <c r="E356" s="1"/>
      <c r="F356" s="3"/>
      <c r="G356" s="1"/>
      <c r="H356" s="1"/>
      <c r="I356" s="3"/>
      <c r="J356" s="1"/>
      <c r="P356" s="1"/>
      <c r="Q356" s="2"/>
      <c r="R356" s="1"/>
      <c r="S356" s="1"/>
      <c r="T356" s="3"/>
      <c r="U356" s="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75" customHeight="1" x14ac:dyDescent="0.25">
      <c r="A357" s="1"/>
      <c r="B357" s="1"/>
      <c r="C357" s="1"/>
      <c r="D357" s="1"/>
      <c r="E357" s="1"/>
      <c r="F357" s="3"/>
      <c r="G357" s="1"/>
      <c r="H357" s="1"/>
      <c r="I357" s="3"/>
      <c r="J357" s="1"/>
      <c r="P357" s="1"/>
      <c r="Q357" s="2"/>
      <c r="R357" s="1"/>
      <c r="S357" s="1"/>
      <c r="T357" s="3"/>
      <c r="U357" s="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75" customHeight="1" x14ac:dyDescent="0.25">
      <c r="A358" s="1"/>
      <c r="B358" s="1"/>
      <c r="C358" s="1"/>
      <c r="D358" s="1"/>
      <c r="E358" s="1"/>
      <c r="F358" s="3"/>
      <c r="G358" s="1"/>
      <c r="H358" s="1"/>
      <c r="I358" s="3"/>
      <c r="J358" s="1"/>
      <c r="P358" s="1"/>
      <c r="Q358" s="2"/>
      <c r="R358" s="1"/>
      <c r="S358" s="1"/>
      <c r="T358" s="3"/>
      <c r="U358" s="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75" customHeight="1" x14ac:dyDescent="0.25">
      <c r="A359" s="1"/>
      <c r="B359" s="1"/>
      <c r="C359" s="1"/>
      <c r="D359" s="1"/>
      <c r="E359" s="1"/>
      <c r="F359" s="3"/>
      <c r="G359" s="1"/>
      <c r="H359" s="1"/>
      <c r="I359" s="3"/>
      <c r="J359" s="1"/>
      <c r="P359" s="1"/>
      <c r="Q359" s="2"/>
      <c r="R359" s="1"/>
      <c r="S359" s="1"/>
      <c r="T359" s="3"/>
      <c r="U359" s="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75" customHeight="1" x14ac:dyDescent="0.25">
      <c r="A360" s="1"/>
      <c r="B360" s="1"/>
      <c r="C360" s="1"/>
      <c r="D360" s="1"/>
      <c r="E360" s="1"/>
      <c r="F360" s="3"/>
      <c r="G360" s="1"/>
      <c r="H360" s="1"/>
      <c r="I360" s="3"/>
      <c r="J360" s="1"/>
      <c r="P360" s="1"/>
      <c r="Q360" s="2"/>
      <c r="R360" s="1"/>
      <c r="S360" s="1"/>
      <c r="T360" s="3"/>
      <c r="U360" s="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75" customHeight="1" x14ac:dyDescent="0.25">
      <c r="A361" s="1"/>
      <c r="B361" s="1"/>
      <c r="C361" s="1"/>
      <c r="D361" s="1"/>
      <c r="E361" s="1"/>
      <c r="F361" s="3"/>
      <c r="G361" s="1"/>
      <c r="H361" s="1"/>
      <c r="I361" s="3"/>
      <c r="J361" s="1"/>
      <c r="P361" s="1"/>
      <c r="Q361" s="2"/>
      <c r="R361" s="1"/>
      <c r="S361" s="1"/>
      <c r="T361" s="3"/>
      <c r="U361" s="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75" customHeight="1" x14ac:dyDescent="0.25">
      <c r="A362" s="1"/>
      <c r="B362" s="1"/>
      <c r="C362" s="1"/>
      <c r="D362" s="1"/>
      <c r="E362" s="1"/>
      <c r="F362" s="3"/>
      <c r="G362" s="1"/>
      <c r="H362" s="1"/>
      <c r="I362" s="3"/>
      <c r="J362" s="1"/>
      <c r="P362" s="1"/>
      <c r="Q362" s="2"/>
      <c r="R362" s="1"/>
      <c r="S362" s="1"/>
      <c r="T362" s="3"/>
      <c r="U362" s="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75" customHeight="1" x14ac:dyDescent="0.25">
      <c r="A363" s="1"/>
      <c r="B363" s="1"/>
      <c r="C363" s="1"/>
      <c r="D363" s="1"/>
      <c r="E363" s="1"/>
      <c r="F363" s="3"/>
      <c r="G363" s="1"/>
      <c r="H363" s="1"/>
      <c r="I363" s="3"/>
      <c r="J363" s="1"/>
      <c r="P363" s="1"/>
      <c r="Q363" s="2"/>
      <c r="R363" s="1"/>
      <c r="S363" s="1"/>
      <c r="T363" s="3"/>
      <c r="U363" s="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75" customHeight="1" x14ac:dyDescent="0.25">
      <c r="A364" s="1"/>
      <c r="B364" s="1"/>
      <c r="C364" s="1"/>
      <c r="D364" s="1"/>
      <c r="E364" s="1"/>
      <c r="F364" s="3"/>
      <c r="G364" s="1"/>
      <c r="H364" s="1"/>
      <c r="I364" s="3"/>
      <c r="J364" s="1"/>
      <c r="P364" s="1"/>
      <c r="Q364" s="2"/>
      <c r="R364" s="1"/>
      <c r="S364" s="1"/>
      <c r="T364" s="3"/>
      <c r="U364" s="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75" customHeight="1" x14ac:dyDescent="0.25">
      <c r="A365" s="1"/>
      <c r="B365" s="1"/>
      <c r="C365" s="1"/>
      <c r="D365" s="1"/>
      <c r="E365" s="1"/>
      <c r="F365" s="3"/>
      <c r="G365" s="1"/>
      <c r="H365" s="1"/>
      <c r="I365" s="3"/>
      <c r="J365" s="1"/>
      <c r="P365" s="1"/>
      <c r="Q365" s="2"/>
      <c r="R365" s="1"/>
      <c r="S365" s="1"/>
      <c r="T365" s="3"/>
      <c r="U365" s="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75" customHeight="1" x14ac:dyDescent="0.25">
      <c r="A366" s="1"/>
      <c r="B366" s="1"/>
      <c r="C366" s="1"/>
      <c r="D366" s="1"/>
      <c r="E366" s="1"/>
      <c r="F366" s="3"/>
      <c r="G366" s="1"/>
      <c r="H366" s="1"/>
      <c r="I366" s="3"/>
      <c r="J366" s="1"/>
      <c r="P366" s="1"/>
      <c r="Q366" s="2"/>
      <c r="R366" s="1"/>
      <c r="S366" s="1"/>
      <c r="T366" s="3"/>
      <c r="U366" s="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75" customHeight="1" x14ac:dyDescent="0.25">
      <c r="A367" s="1"/>
      <c r="B367" s="1"/>
      <c r="C367" s="1"/>
      <c r="D367" s="1"/>
      <c r="E367" s="1"/>
      <c r="F367" s="3"/>
      <c r="G367" s="1"/>
      <c r="H367" s="1"/>
      <c r="I367" s="3"/>
      <c r="J367" s="1"/>
      <c r="P367" s="1"/>
      <c r="Q367" s="2"/>
      <c r="R367" s="1"/>
      <c r="S367" s="1"/>
      <c r="T367" s="3"/>
      <c r="U367" s="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75" customHeight="1" x14ac:dyDescent="0.25">
      <c r="A368" s="1"/>
      <c r="B368" s="1"/>
      <c r="C368" s="1"/>
      <c r="D368" s="1"/>
      <c r="E368" s="1"/>
      <c r="F368" s="3"/>
      <c r="G368" s="1"/>
      <c r="H368" s="1"/>
      <c r="I368" s="3"/>
      <c r="J368" s="1"/>
      <c r="P368" s="1"/>
      <c r="Q368" s="2"/>
      <c r="R368" s="1"/>
      <c r="S368" s="1"/>
      <c r="T368" s="3"/>
      <c r="U368" s="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75" customHeight="1" x14ac:dyDescent="0.25">
      <c r="A369" s="1"/>
      <c r="B369" s="1"/>
      <c r="C369" s="1"/>
      <c r="D369" s="1"/>
      <c r="E369" s="1"/>
      <c r="F369" s="3"/>
      <c r="G369" s="1"/>
      <c r="H369" s="1"/>
      <c r="I369" s="3"/>
      <c r="J369" s="1"/>
      <c r="P369" s="1"/>
      <c r="Q369" s="2"/>
      <c r="R369" s="1"/>
      <c r="S369" s="1"/>
      <c r="T369" s="3"/>
      <c r="U369" s="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75" customHeight="1" x14ac:dyDescent="0.25">
      <c r="A370" s="1"/>
      <c r="B370" s="1"/>
      <c r="C370" s="1"/>
      <c r="D370" s="1"/>
      <c r="E370" s="1"/>
      <c r="F370" s="3"/>
      <c r="G370" s="1"/>
      <c r="H370" s="1"/>
      <c r="I370" s="3"/>
      <c r="J370" s="1"/>
      <c r="P370" s="1"/>
      <c r="Q370" s="2"/>
      <c r="R370" s="1"/>
      <c r="S370" s="1"/>
      <c r="T370" s="3"/>
      <c r="U370" s="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75" customHeight="1" x14ac:dyDescent="0.25">
      <c r="A371" s="1"/>
      <c r="B371" s="1"/>
      <c r="C371" s="1"/>
      <c r="D371" s="1"/>
      <c r="E371" s="1"/>
      <c r="F371" s="3"/>
      <c r="G371" s="1"/>
      <c r="H371" s="1"/>
      <c r="I371" s="3"/>
      <c r="J371" s="1"/>
      <c r="P371" s="1"/>
      <c r="Q371" s="2"/>
      <c r="R371" s="1"/>
      <c r="S371" s="1"/>
      <c r="T371" s="3"/>
      <c r="U371" s="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75" customHeight="1" x14ac:dyDescent="0.25">
      <c r="A372" s="1"/>
      <c r="B372" s="1"/>
      <c r="C372" s="1"/>
      <c r="D372" s="1"/>
      <c r="E372" s="1"/>
      <c r="F372" s="3"/>
      <c r="G372" s="1"/>
      <c r="H372" s="1"/>
      <c r="I372" s="3"/>
      <c r="J372" s="1"/>
      <c r="P372" s="1"/>
      <c r="Q372" s="2"/>
      <c r="R372" s="1"/>
      <c r="S372" s="1"/>
      <c r="T372" s="3"/>
      <c r="U372" s="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75" customHeight="1" x14ac:dyDescent="0.25">
      <c r="A373" s="1"/>
      <c r="B373" s="1"/>
      <c r="C373" s="1"/>
      <c r="D373" s="1"/>
      <c r="E373" s="1"/>
      <c r="F373" s="3"/>
      <c r="G373" s="1"/>
      <c r="H373" s="1"/>
      <c r="I373" s="3"/>
      <c r="J373" s="1"/>
      <c r="P373" s="1"/>
      <c r="Q373" s="2"/>
      <c r="R373" s="1"/>
      <c r="S373" s="1"/>
      <c r="T373" s="3"/>
      <c r="U373" s="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75" customHeight="1" x14ac:dyDescent="0.25">
      <c r="A374" s="1"/>
      <c r="B374" s="1"/>
      <c r="C374" s="1"/>
      <c r="D374" s="1"/>
      <c r="E374" s="1"/>
      <c r="F374" s="3"/>
      <c r="G374" s="1"/>
      <c r="H374" s="1"/>
      <c r="I374" s="3"/>
      <c r="J374" s="1"/>
      <c r="P374" s="1"/>
      <c r="Q374" s="2"/>
      <c r="R374" s="1"/>
      <c r="S374" s="1"/>
      <c r="T374" s="3"/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75" customHeight="1" x14ac:dyDescent="0.25">
      <c r="A375" s="1"/>
      <c r="B375" s="1"/>
      <c r="C375" s="1"/>
      <c r="D375" s="1"/>
      <c r="E375" s="1"/>
      <c r="F375" s="3"/>
      <c r="G375" s="1"/>
      <c r="H375" s="1"/>
      <c r="I375" s="3"/>
      <c r="J375" s="1"/>
      <c r="P375" s="1"/>
      <c r="Q375" s="2"/>
      <c r="R375" s="1"/>
      <c r="S375" s="1"/>
      <c r="T375" s="3"/>
      <c r="U375" s="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75" customHeight="1" x14ac:dyDescent="0.25">
      <c r="A376" s="1"/>
      <c r="B376" s="1"/>
      <c r="C376" s="1"/>
      <c r="D376" s="1"/>
      <c r="E376" s="1"/>
      <c r="F376" s="3"/>
      <c r="G376" s="1"/>
      <c r="H376" s="1"/>
      <c r="I376" s="3"/>
      <c r="J376" s="1"/>
      <c r="P376" s="1"/>
      <c r="Q376" s="2"/>
      <c r="R376" s="1"/>
      <c r="S376" s="1"/>
      <c r="T376" s="3"/>
      <c r="U376" s="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75" customHeight="1" x14ac:dyDescent="0.25">
      <c r="A377" s="1"/>
      <c r="B377" s="1"/>
      <c r="C377" s="1"/>
      <c r="D377" s="1"/>
      <c r="E377" s="1"/>
      <c r="F377" s="3"/>
      <c r="G377" s="1"/>
      <c r="H377" s="1"/>
      <c r="I377" s="3"/>
      <c r="J377" s="1"/>
      <c r="P377" s="1"/>
      <c r="Q377" s="2"/>
      <c r="R377" s="1"/>
      <c r="S377" s="1"/>
      <c r="T377" s="3"/>
      <c r="U377" s="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75" customHeight="1" x14ac:dyDescent="0.25">
      <c r="A378" s="1"/>
      <c r="B378" s="1"/>
      <c r="C378" s="1"/>
      <c r="D378" s="1"/>
      <c r="E378" s="1"/>
      <c r="F378" s="3"/>
      <c r="G378" s="1"/>
      <c r="H378" s="1"/>
      <c r="I378" s="3"/>
      <c r="J378" s="1"/>
      <c r="P378" s="1"/>
      <c r="Q378" s="2"/>
      <c r="R378" s="1"/>
      <c r="S378" s="1"/>
      <c r="T378" s="3"/>
      <c r="U378" s="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75" customHeight="1" x14ac:dyDescent="0.25">
      <c r="A379" s="1"/>
      <c r="B379" s="1"/>
      <c r="C379" s="1"/>
      <c r="D379" s="1"/>
      <c r="E379" s="1"/>
      <c r="F379" s="3"/>
      <c r="G379" s="1"/>
      <c r="H379" s="1"/>
      <c r="I379" s="3"/>
      <c r="J379" s="1"/>
      <c r="P379" s="1"/>
      <c r="Q379" s="2"/>
      <c r="R379" s="1"/>
      <c r="S379" s="1"/>
      <c r="T379" s="3"/>
      <c r="U379" s="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75" customHeight="1" x14ac:dyDescent="0.25">
      <c r="A380" s="1"/>
      <c r="B380" s="1"/>
      <c r="C380" s="1"/>
      <c r="D380" s="1"/>
      <c r="E380" s="1"/>
      <c r="F380" s="3"/>
      <c r="G380" s="1"/>
      <c r="H380" s="1"/>
      <c r="I380" s="3"/>
      <c r="J380" s="1"/>
      <c r="P380" s="1"/>
      <c r="Q380" s="2"/>
      <c r="R380" s="1"/>
      <c r="S380" s="1"/>
      <c r="T380" s="3"/>
      <c r="U380" s="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75" customHeight="1" x14ac:dyDescent="0.25">
      <c r="A381" s="1"/>
      <c r="B381" s="1"/>
      <c r="C381" s="1"/>
      <c r="D381" s="1"/>
      <c r="E381" s="1"/>
      <c r="F381" s="3"/>
      <c r="G381" s="1"/>
      <c r="H381" s="1"/>
      <c r="I381" s="3"/>
      <c r="J381" s="1"/>
      <c r="P381" s="1"/>
      <c r="Q381" s="2"/>
      <c r="R381" s="1"/>
      <c r="S381" s="1"/>
      <c r="T381" s="3"/>
      <c r="U381" s="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75" customHeight="1" x14ac:dyDescent="0.25">
      <c r="A382" s="1"/>
      <c r="B382" s="1"/>
      <c r="C382" s="1"/>
      <c r="D382" s="1"/>
      <c r="E382" s="1"/>
      <c r="F382" s="3"/>
      <c r="G382" s="1"/>
      <c r="H382" s="1"/>
      <c r="I382" s="3"/>
      <c r="J382" s="1"/>
      <c r="P382" s="1"/>
      <c r="Q382" s="2"/>
      <c r="R382" s="1"/>
      <c r="S382" s="1"/>
      <c r="T382" s="3"/>
      <c r="U382" s="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75" customHeight="1" x14ac:dyDescent="0.25">
      <c r="A383" s="1"/>
      <c r="B383" s="1"/>
      <c r="C383" s="1"/>
      <c r="D383" s="1"/>
      <c r="E383" s="1"/>
      <c r="F383" s="3"/>
      <c r="G383" s="1"/>
      <c r="H383" s="1"/>
      <c r="I383" s="3"/>
      <c r="J383" s="1"/>
      <c r="P383" s="1"/>
      <c r="Q383" s="2"/>
      <c r="R383" s="1"/>
      <c r="S383" s="1"/>
      <c r="T383" s="3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75" customHeight="1" x14ac:dyDescent="0.25">
      <c r="A384" s="1"/>
      <c r="B384" s="1"/>
      <c r="C384" s="1"/>
      <c r="D384" s="1"/>
      <c r="E384" s="1"/>
      <c r="F384" s="3"/>
      <c r="G384" s="1"/>
      <c r="H384" s="1"/>
      <c r="I384" s="3"/>
      <c r="J384" s="1"/>
      <c r="P384" s="1"/>
      <c r="Q384" s="2"/>
      <c r="R384" s="1"/>
      <c r="S384" s="1"/>
      <c r="T384" s="3"/>
      <c r="U384" s="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75" customHeight="1" x14ac:dyDescent="0.25">
      <c r="A385" s="1"/>
      <c r="B385" s="1"/>
      <c r="C385" s="1"/>
      <c r="D385" s="1"/>
      <c r="E385" s="1"/>
      <c r="F385" s="3"/>
      <c r="G385" s="1"/>
      <c r="H385" s="1"/>
      <c r="I385" s="3"/>
      <c r="J385" s="1"/>
      <c r="P385" s="1"/>
      <c r="Q385" s="2"/>
      <c r="R385" s="1"/>
      <c r="S385" s="1"/>
      <c r="T385" s="3"/>
      <c r="U385" s="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75" customHeight="1" x14ac:dyDescent="0.25">
      <c r="A386" s="1"/>
      <c r="B386" s="1"/>
      <c r="C386" s="1"/>
      <c r="D386" s="1"/>
      <c r="E386" s="1"/>
      <c r="F386" s="3"/>
      <c r="G386" s="1"/>
      <c r="H386" s="1"/>
      <c r="I386" s="3"/>
      <c r="J386" s="1"/>
      <c r="P386" s="1"/>
      <c r="Q386" s="2"/>
      <c r="R386" s="1"/>
      <c r="S386" s="1"/>
      <c r="T386" s="3"/>
      <c r="U386" s="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75" customHeight="1" x14ac:dyDescent="0.25">
      <c r="A387" s="1"/>
      <c r="B387" s="1"/>
      <c r="C387" s="1"/>
      <c r="D387" s="1"/>
      <c r="E387" s="1"/>
      <c r="F387" s="3"/>
      <c r="G387" s="1"/>
      <c r="H387" s="1"/>
      <c r="I387" s="3"/>
      <c r="J387" s="1"/>
      <c r="P387" s="1"/>
      <c r="Q387" s="2"/>
      <c r="R387" s="1"/>
      <c r="S387" s="1"/>
      <c r="T387" s="3"/>
      <c r="U387" s="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75" customHeight="1" x14ac:dyDescent="0.25">
      <c r="A388" s="1"/>
      <c r="B388" s="1"/>
      <c r="C388" s="1"/>
      <c r="D388" s="1"/>
      <c r="E388" s="1"/>
      <c r="F388" s="3"/>
      <c r="G388" s="1"/>
      <c r="H388" s="1"/>
      <c r="I388" s="3"/>
      <c r="J388" s="1"/>
      <c r="P388" s="1"/>
      <c r="Q388" s="2"/>
      <c r="R388" s="1"/>
      <c r="S388" s="1"/>
      <c r="T388" s="3"/>
      <c r="U388" s="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75" customHeight="1" x14ac:dyDescent="0.25">
      <c r="A389" s="1"/>
      <c r="B389" s="1"/>
      <c r="C389" s="1"/>
      <c r="D389" s="1"/>
      <c r="E389" s="1"/>
      <c r="F389" s="3"/>
      <c r="G389" s="1"/>
      <c r="H389" s="1"/>
      <c r="I389" s="3"/>
      <c r="J389" s="1"/>
      <c r="P389" s="1"/>
      <c r="Q389" s="2"/>
      <c r="R389" s="1"/>
      <c r="S389" s="1"/>
      <c r="T389" s="3"/>
      <c r="U389" s="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75" customHeight="1" x14ac:dyDescent="0.25">
      <c r="A390" s="1"/>
      <c r="B390" s="1"/>
      <c r="C390" s="1"/>
      <c r="D390" s="1"/>
      <c r="E390" s="1"/>
      <c r="F390" s="3"/>
      <c r="G390" s="1"/>
      <c r="H390" s="1"/>
      <c r="I390" s="3"/>
      <c r="J390" s="1"/>
      <c r="P390" s="1"/>
      <c r="Q390" s="2"/>
      <c r="R390" s="1"/>
      <c r="S390" s="1"/>
      <c r="T390" s="3"/>
      <c r="U390" s="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75" customHeight="1" x14ac:dyDescent="0.25">
      <c r="A391" s="1"/>
      <c r="B391" s="1"/>
      <c r="C391" s="1"/>
      <c r="D391" s="1"/>
      <c r="E391" s="1"/>
      <c r="F391" s="3"/>
      <c r="G391" s="1"/>
      <c r="H391" s="1"/>
      <c r="I391" s="3"/>
      <c r="J391" s="1"/>
      <c r="P391" s="1"/>
      <c r="Q391" s="2"/>
      <c r="R391" s="1"/>
      <c r="S391" s="1"/>
      <c r="T391" s="3"/>
      <c r="U391" s="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75" customHeight="1" x14ac:dyDescent="0.25">
      <c r="A392" s="1"/>
      <c r="B392" s="1"/>
      <c r="C392" s="1"/>
      <c r="D392" s="1"/>
      <c r="E392" s="1"/>
      <c r="F392" s="3"/>
      <c r="G392" s="1"/>
      <c r="H392" s="1"/>
      <c r="I392" s="3"/>
      <c r="J392" s="1"/>
      <c r="P392" s="1"/>
      <c r="Q392" s="2"/>
      <c r="R392" s="1"/>
      <c r="S392" s="1"/>
      <c r="T392" s="3"/>
      <c r="U392" s="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75" customHeight="1" x14ac:dyDescent="0.25">
      <c r="A393" s="1"/>
      <c r="B393" s="1"/>
      <c r="C393" s="1"/>
      <c r="D393" s="1"/>
      <c r="E393" s="1"/>
      <c r="F393" s="3"/>
      <c r="G393" s="1"/>
      <c r="H393" s="1"/>
      <c r="I393" s="3"/>
      <c r="J393" s="1"/>
      <c r="P393" s="1"/>
      <c r="Q393" s="2"/>
      <c r="R393" s="1"/>
      <c r="S393" s="1"/>
      <c r="T393" s="3"/>
      <c r="U393" s="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75" customHeight="1" x14ac:dyDescent="0.25">
      <c r="A394" s="1"/>
      <c r="B394" s="1"/>
      <c r="C394" s="1"/>
      <c r="D394" s="1"/>
      <c r="E394" s="1"/>
      <c r="F394" s="3"/>
      <c r="G394" s="1"/>
      <c r="H394" s="1"/>
      <c r="I394" s="3"/>
      <c r="J394" s="1"/>
      <c r="P394" s="1"/>
      <c r="Q394" s="2"/>
      <c r="R394" s="1"/>
      <c r="S394" s="1"/>
      <c r="T394" s="3"/>
      <c r="U394" s="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75" customHeight="1" x14ac:dyDescent="0.25">
      <c r="A395" s="1"/>
      <c r="B395" s="1"/>
      <c r="C395" s="1"/>
      <c r="D395" s="1"/>
      <c r="E395" s="1"/>
      <c r="F395" s="3"/>
      <c r="G395" s="1"/>
      <c r="H395" s="1"/>
      <c r="I395" s="3"/>
      <c r="J395" s="1"/>
      <c r="P395" s="1"/>
      <c r="Q395" s="2"/>
      <c r="R395" s="1"/>
      <c r="S395" s="1"/>
      <c r="T395" s="3"/>
      <c r="U395" s="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75" customHeight="1" x14ac:dyDescent="0.25">
      <c r="A396" s="1"/>
      <c r="B396" s="1"/>
      <c r="C396" s="1"/>
      <c r="D396" s="1"/>
      <c r="E396" s="1"/>
      <c r="F396" s="3"/>
      <c r="G396" s="1"/>
      <c r="H396" s="1"/>
      <c r="I396" s="3"/>
      <c r="J396" s="1"/>
      <c r="P396" s="1"/>
      <c r="Q396" s="2"/>
      <c r="R396" s="1"/>
      <c r="S396" s="1"/>
      <c r="T396" s="3"/>
      <c r="U396" s="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75" customHeight="1" x14ac:dyDescent="0.25">
      <c r="A397" s="1"/>
      <c r="B397" s="1"/>
      <c r="C397" s="1"/>
      <c r="D397" s="1"/>
      <c r="E397" s="1"/>
      <c r="F397" s="3"/>
      <c r="G397" s="1"/>
      <c r="H397" s="1"/>
      <c r="I397" s="3"/>
      <c r="J397" s="1"/>
      <c r="P397" s="1"/>
      <c r="Q397" s="2"/>
      <c r="R397" s="1"/>
      <c r="S397" s="1"/>
      <c r="T397" s="3"/>
      <c r="U397" s="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75" customHeight="1" x14ac:dyDescent="0.25">
      <c r="A398" s="1"/>
      <c r="B398" s="1"/>
      <c r="C398" s="1"/>
      <c r="D398" s="1"/>
      <c r="E398" s="1"/>
      <c r="F398" s="3"/>
      <c r="G398" s="1"/>
      <c r="H398" s="1"/>
      <c r="I398" s="3"/>
      <c r="J398" s="1"/>
      <c r="P398" s="1"/>
      <c r="Q398" s="2"/>
      <c r="R398" s="1"/>
      <c r="S398" s="1"/>
      <c r="T398" s="3"/>
      <c r="U398" s="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75" customHeight="1" x14ac:dyDescent="0.25">
      <c r="A399" s="1"/>
      <c r="B399" s="1"/>
      <c r="C399" s="1"/>
      <c r="D399" s="1"/>
      <c r="E399" s="1"/>
      <c r="F399" s="3"/>
      <c r="G399" s="1"/>
      <c r="H399" s="1"/>
      <c r="I399" s="3"/>
      <c r="J399" s="1"/>
      <c r="P399" s="1"/>
      <c r="Q399" s="2"/>
      <c r="R399" s="1"/>
      <c r="S399" s="1"/>
      <c r="T399" s="3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75" customHeight="1" x14ac:dyDescent="0.25">
      <c r="A400" s="1"/>
      <c r="B400" s="1"/>
      <c r="C400" s="1"/>
      <c r="D400" s="1"/>
      <c r="E400" s="1"/>
      <c r="F400" s="3"/>
      <c r="G400" s="1"/>
      <c r="H400" s="1"/>
      <c r="I400" s="3"/>
      <c r="J400" s="1"/>
      <c r="P400" s="1"/>
      <c r="Q400" s="2"/>
      <c r="R400" s="1"/>
      <c r="S400" s="1"/>
      <c r="T400" s="3"/>
      <c r="U400" s="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75" customHeight="1" x14ac:dyDescent="0.25">
      <c r="A401" s="1"/>
      <c r="B401" s="1"/>
      <c r="C401" s="1"/>
      <c r="D401" s="1"/>
      <c r="E401" s="1"/>
      <c r="F401" s="3"/>
      <c r="G401" s="1"/>
      <c r="H401" s="1"/>
      <c r="I401" s="3"/>
      <c r="J401" s="1"/>
      <c r="P401" s="1"/>
      <c r="Q401" s="2"/>
      <c r="R401" s="1"/>
      <c r="S401" s="1"/>
      <c r="T401" s="3"/>
      <c r="U401" s="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75" customHeight="1" x14ac:dyDescent="0.25">
      <c r="A402" s="1"/>
      <c r="B402" s="1"/>
      <c r="C402" s="1"/>
      <c r="D402" s="1"/>
      <c r="E402" s="1"/>
      <c r="F402" s="3"/>
      <c r="G402" s="1"/>
      <c r="H402" s="1"/>
      <c r="I402" s="3"/>
      <c r="J402" s="1"/>
      <c r="P402" s="1"/>
      <c r="Q402" s="2"/>
      <c r="R402" s="1"/>
      <c r="S402" s="1"/>
      <c r="T402" s="3"/>
      <c r="U402" s="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75" customHeight="1" x14ac:dyDescent="0.25">
      <c r="A403" s="1"/>
      <c r="B403" s="1"/>
      <c r="C403" s="1"/>
      <c r="D403" s="1"/>
      <c r="E403" s="1"/>
      <c r="F403" s="3"/>
      <c r="G403" s="1"/>
      <c r="H403" s="1"/>
      <c r="I403" s="3"/>
      <c r="J403" s="1"/>
      <c r="P403" s="1"/>
      <c r="Q403" s="2"/>
      <c r="R403" s="1"/>
      <c r="S403" s="1"/>
      <c r="T403" s="3"/>
      <c r="U403" s="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75" customHeight="1" x14ac:dyDescent="0.25">
      <c r="A404" s="1"/>
      <c r="B404" s="1"/>
      <c r="C404" s="1"/>
      <c r="D404" s="1"/>
      <c r="E404" s="1"/>
      <c r="F404" s="3"/>
      <c r="G404" s="1"/>
      <c r="H404" s="1"/>
      <c r="I404" s="3"/>
      <c r="J404" s="1"/>
      <c r="P404" s="1"/>
      <c r="Q404" s="2"/>
      <c r="R404" s="1"/>
      <c r="S404" s="1"/>
      <c r="T404" s="3"/>
      <c r="U404" s="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75" customHeight="1" x14ac:dyDescent="0.25">
      <c r="A405" s="1"/>
      <c r="B405" s="1"/>
      <c r="C405" s="1"/>
      <c r="D405" s="1"/>
      <c r="E405" s="1"/>
      <c r="F405" s="3"/>
      <c r="G405" s="1"/>
      <c r="H405" s="1"/>
      <c r="I405" s="3"/>
      <c r="J405" s="1"/>
      <c r="P405" s="1"/>
      <c r="Q405" s="2"/>
      <c r="R405" s="1"/>
      <c r="S405" s="1"/>
      <c r="T405" s="3"/>
      <c r="U405" s="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75" customHeight="1" x14ac:dyDescent="0.25">
      <c r="A406" s="1"/>
      <c r="B406" s="1"/>
      <c r="C406" s="1"/>
      <c r="D406" s="1"/>
      <c r="E406" s="1"/>
      <c r="F406" s="3"/>
      <c r="G406" s="1"/>
      <c r="H406" s="1"/>
      <c r="I406" s="3"/>
      <c r="J406" s="1"/>
      <c r="P406" s="1"/>
      <c r="Q406" s="2"/>
      <c r="R406" s="1"/>
      <c r="S406" s="1"/>
      <c r="T406" s="3"/>
      <c r="U406" s="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75" customHeight="1" x14ac:dyDescent="0.25">
      <c r="A407" s="1"/>
      <c r="B407" s="1"/>
      <c r="C407" s="1"/>
      <c r="D407" s="1"/>
      <c r="E407" s="1"/>
      <c r="F407" s="3"/>
      <c r="G407" s="1"/>
      <c r="H407" s="1"/>
      <c r="I407" s="3"/>
      <c r="J407" s="1"/>
      <c r="P407" s="1"/>
      <c r="Q407" s="2"/>
      <c r="R407" s="1"/>
      <c r="S407" s="1"/>
      <c r="T407" s="3"/>
      <c r="U407" s="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75" customHeight="1" x14ac:dyDescent="0.25">
      <c r="A408" s="1"/>
      <c r="B408" s="1"/>
      <c r="C408" s="1"/>
      <c r="D408" s="1"/>
      <c r="E408" s="1"/>
      <c r="F408" s="3"/>
      <c r="G408" s="1"/>
      <c r="H408" s="1"/>
      <c r="I408" s="3"/>
      <c r="J408" s="1"/>
      <c r="P408" s="1"/>
      <c r="Q408" s="2"/>
      <c r="R408" s="1"/>
      <c r="S408" s="1"/>
      <c r="T408" s="3"/>
      <c r="U408" s="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75" customHeight="1" x14ac:dyDescent="0.25">
      <c r="A409" s="1"/>
      <c r="B409" s="1"/>
      <c r="C409" s="1"/>
      <c r="D409" s="1"/>
      <c r="E409" s="1"/>
      <c r="F409" s="3"/>
      <c r="G409" s="1"/>
      <c r="H409" s="1"/>
      <c r="I409" s="3"/>
      <c r="J409" s="1"/>
      <c r="P409" s="1"/>
      <c r="Q409" s="2"/>
      <c r="R409" s="1"/>
      <c r="S409" s="1"/>
      <c r="T409" s="3"/>
      <c r="U409" s="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75" customHeight="1" x14ac:dyDescent="0.25">
      <c r="A410" s="1"/>
      <c r="B410" s="1"/>
      <c r="C410" s="1"/>
      <c r="D410" s="1"/>
      <c r="E410" s="1"/>
      <c r="F410" s="3"/>
      <c r="G410" s="1"/>
      <c r="H410" s="1"/>
      <c r="I410" s="3"/>
      <c r="J410" s="1"/>
      <c r="P410" s="1"/>
      <c r="Q410" s="2"/>
      <c r="R410" s="1"/>
      <c r="S410" s="1"/>
      <c r="T410" s="3"/>
      <c r="U410" s="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75" customHeight="1" x14ac:dyDescent="0.25">
      <c r="A411" s="1"/>
      <c r="B411" s="1"/>
      <c r="C411" s="1"/>
      <c r="D411" s="1"/>
      <c r="E411" s="1"/>
      <c r="F411" s="3"/>
      <c r="G411" s="1"/>
      <c r="H411" s="1"/>
      <c r="I411" s="3"/>
      <c r="J411" s="1"/>
      <c r="P411" s="1"/>
      <c r="Q411" s="2"/>
      <c r="R411" s="1"/>
      <c r="S411" s="1"/>
      <c r="T411" s="3"/>
      <c r="U411" s="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75" customHeight="1" x14ac:dyDescent="0.25">
      <c r="A412" s="1"/>
      <c r="B412" s="1"/>
      <c r="C412" s="1"/>
      <c r="D412" s="1"/>
      <c r="E412" s="1"/>
      <c r="F412" s="3"/>
      <c r="G412" s="1"/>
      <c r="H412" s="1"/>
      <c r="I412" s="3"/>
      <c r="J412" s="1"/>
      <c r="P412" s="1"/>
      <c r="Q412" s="2"/>
      <c r="R412" s="1"/>
      <c r="S412" s="1"/>
      <c r="T412" s="3"/>
      <c r="U412" s="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75" customHeight="1" x14ac:dyDescent="0.25">
      <c r="A413" s="1"/>
      <c r="B413" s="1"/>
      <c r="C413" s="1"/>
      <c r="D413" s="1"/>
      <c r="E413" s="1"/>
      <c r="F413" s="3"/>
      <c r="G413" s="1"/>
      <c r="H413" s="1"/>
      <c r="I413" s="3"/>
      <c r="J413" s="1"/>
      <c r="P413" s="1"/>
      <c r="Q413" s="2"/>
      <c r="R413" s="1"/>
      <c r="S413" s="1"/>
      <c r="T413" s="3"/>
      <c r="U413" s="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75" customHeight="1" x14ac:dyDescent="0.25">
      <c r="A414" s="1"/>
      <c r="B414" s="1"/>
      <c r="C414" s="1"/>
      <c r="D414" s="1"/>
      <c r="E414" s="1"/>
      <c r="F414" s="3"/>
      <c r="G414" s="1"/>
      <c r="H414" s="1"/>
      <c r="I414" s="3"/>
      <c r="J414" s="1"/>
      <c r="P414" s="1"/>
      <c r="Q414" s="2"/>
      <c r="R414" s="1"/>
      <c r="S414" s="1"/>
      <c r="T414" s="3"/>
      <c r="U414" s="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75" customHeight="1" x14ac:dyDescent="0.25">
      <c r="A415" s="1"/>
      <c r="B415" s="1"/>
      <c r="C415" s="1"/>
      <c r="D415" s="1"/>
      <c r="E415" s="1"/>
      <c r="F415" s="3"/>
      <c r="G415" s="1"/>
      <c r="H415" s="1"/>
      <c r="I415" s="3"/>
      <c r="J415" s="1"/>
      <c r="P415" s="1"/>
      <c r="Q415" s="2"/>
      <c r="R415" s="1"/>
      <c r="S415" s="1"/>
      <c r="T415" s="3"/>
      <c r="U415" s="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75" customHeight="1" x14ac:dyDescent="0.25">
      <c r="A416" s="1"/>
      <c r="B416" s="1"/>
      <c r="C416" s="1"/>
      <c r="D416" s="1"/>
      <c r="E416" s="1"/>
      <c r="F416" s="3"/>
      <c r="G416" s="1"/>
      <c r="H416" s="1"/>
      <c r="I416" s="3"/>
      <c r="J416" s="1"/>
      <c r="P416" s="1"/>
      <c r="Q416" s="2"/>
      <c r="R416" s="1"/>
      <c r="S416" s="1"/>
      <c r="T416" s="3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75" customHeight="1" x14ac:dyDescent="0.25">
      <c r="A417" s="1"/>
      <c r="B417" s="1"/>
      <c r="C417" s="1"/>
      <c r="D417" s="1"/>
      <c r="E417" s="1"/>
      <c r="F417" s="3"/>
      <c r="G417" s="1"/>
      <c r="H417" s="1"/>
      <c r="I417" s="3"/>
      <c r="J417" s="1"/>
      <c r="P417" s="1"/>
      <c r="Q417" s="2"/>
      <c r="R417" s="1"/>
      <c r="S417" s="1"/>
      <c r="T417" s="3"/>
      <c r="U417" s="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75" customHeight="1" x14ac:dyDescent="0.25">
      <c r="A418" s="1"/>
      <c r="B418" s="1"/>
      <c r="C418" s="1"/>
      <c r="D418" s="1"/>
      <c r="E418" s="1"/>
      <c r="F418" s="3"/>
      <c r="G418" s="1"/>
      <c r="H418" s="1"/>
      <c r="I418" s="3"/>
      <c r="J418" s="1"/>
      <c r="P418" s="1"/>
      <c r="Q418" s="2"/>
      <c r="R418" s="1"/>
      <c r="S418" s="1"/>
      <c r="T418" s="3"/>
      <c r="U418" s="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75" customHeight="1" x14ac:dyDescent="0.25">
      <c r="A419" s="1"/>
      <c r="B419" s="1"/>
      <c r="C419" s="1"/>
      <c r="D419" s="1"/>
      <c r="E419" s="1"/>
      <c r="F419" s="3"/>
      <c r="G419" s="1"/>
      <c r="H419" s="1"/>
      <c r="I419" s="3"/>
      <c r="J419" s="1"/>
      <c r="P419" s="1"/>
      <c r="Q419" s="2"/>
      <c r="R419" s="1"/>
      <c r="S419" s="1"/>
      <c r="T419" s="3"/>
      <c r="U419" s="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75" customHeight="1" x14ac:dyDescent="0.25">
      <c r="A420" s="1"/>
      <c r="B420" s="1"/>
      <c r="C420" s="1"/>
      <c r="D420" s="1"/>
      <c r="E420" s="1"/>
      <c r="F420" s="3"/>
      <c r="G420" s="1"/>
      <c r="H420" s="1"/>
      <c r="I420" s="3"/>
      <c r="J420" s="1"/>
      <c r="P420" s="1"/>
      <c r="Q420" s="2"/>
      <c r="R420" s="1"/>
      <c r="S420" s="1"/>
      <c r="T420" s="3"/>
      <c r="U420" s="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75" customHeight="1" x14ac:dyDescent="0.25">
      <c r="A421" s="1"/>
      <c r="B421" s="1"/>
      <c r="C421" s="1"/>
      <c r="D421" s="1"/>
      <c r="E421" s="1"/>
      <c r="F421" s="3"/>
      <c r="G421" s="1"/>
      <c r="H421" s="1"/>
      <c r="I421" s="3"/>
      <c r="J421" s="1"/>
      <c r="P421" s="1"/>
      <c r="Q421" s="2"/>
      <c r="R421" s="1"/>
      <c r="S421" s="1"/>
      <c r="T421" s="3"/>
      <c r="U421" s="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75" customHeight="1" x14ac:dyDescent="0.25">
      <c r="A422" s="1"/>
      <c r="B422" s="1"/>
      <c r="C422" s="1"/>
      <c r="D422" s="1"/>
      <c r="E422" s="1"/>
      <c r="F422" s="3"/>
      <c r="G422" s="1"/>
      <c r="H422" s="1"/>
      <c r="I422" s="3"/>
      <c r="J422" s="1"/>
      <c r="P422" s="1"/>
      <c r="Q422" s="2"/>
      <c r="R422" s="1"/>
      <c r="S422" s="1"/>
      <c r="T422" s="3"/>
      <c r="U422" s="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75" customHeight="1" x14ac:dyDescent="0.25">
      <c r="A423" s="1"/>
      <c r="B423" s="1"/>
      <c r="C423" s="1"/>
      <c r="D423" s="1"/>
      <c r="E423" s="1"/>
      <c r="F423" s="3"/>
      <c r="G423" s="1"/>
      <c r="H423" s="1"/>
      <c r="I423" s="3"/>
      <c r="J423" s="1"/>
      <c r="P423" s="1"/>
      <c r="Q423" s="2"/>
      <c r="R423" s="1"/>
      <c r="S423" s="1"/>
      <c r="T423" s="3"/>
      <c r="U423" s="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75" customHeight="1" x14ac:dyDescent="0.25">
      <c r="A424" s="1"/>
      <c r="B424" s="1"/>
      <c r="C424" s="1"/>
      <c r="D424" s="1"/>
      <c r="E424" s="1"/>
      <c r="F424" s="3"/>
      <c r="G424" s="1"/>
      <c r="H424" s="1"/>
      <c r="I424" s="3"/>
      <c r="J424" s="1"/>
      <c r="P424" s="1"/>
      <c r="Q424" s="2"/>
      <c r="R424" s="1"/>
      <c r="S424" s="1"/>
      <c r="T424" s="3"/>
      <c r="U424" s="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75" customHeight="1" x14ac:dyDescent="0.25">
      <c r="A425" s="1"/>
      <c r="B425" s="1"/>
      <c r="C425" s="1"/>
      <c r="D425" s="1"/>
      <c r="E425" s="1"/>
      <c r="F425" s="3"/>
      <c r="G425" s="1"/>
      <c r="H425" s="1"/>
      <c r="I425" s="3"/>
      <c r="J425" s="1"/>
      <c r="P425" s="1"/>
      <c r="Q425" s="2"/>
      <c r="R425" s="1"/>
      <c r="S425" s="1"/>
      <c r="T425" s="3"/>
      <c r="U425" s="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75" customHeight="1" x14ac:dyDescent="0.25">
      <c r="A426" s="1"/>
      <c r="B426" s="1"/>
      <c r="C426" s="1"/>
      <c r="D426" s="1"/>
      <c r="E426" s="1"/>
      <c r="F426" s="3"/>
      <c r="G426" s="1"/>
      <c r="H426" s="1"/>
      <c r="I426" s="3"/>
      <c r="J426" s="1"/>
      <c r="P426" s="1"/>
      <c r="Q426" s="2"/>
      <c r="R426" s="1"/>
      <c r="S426" s="1"/>
      <c r="T426" s="3"/>
      <c r="U426" s="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75" customHeight="1" x14ac:dyDescent="0.25">
      <c r="A427" s="1"/>
      <c r="B427" s="1"/>
      <c r="C427" s="1"/>
      <c r="D427" s="1"/>
      <c r="E427" s="1"/>
      <c r="F427" s="3"/>
      <c r="G427" s="1"/>
      <c r="H427" s="1"/>
      <c r="I427" s="3"/>
      <c r="J427" s="1"/>
      <c r="P427" s="1"/>
      <c r="Q427" s="2"/>
      <c r="R427" s="1"/>
      <c r="S427" s="1"/>
      <c r="T427" s="3"/>
      <c r="U427" s="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75" customHeight="1" x14ac:dyDescent="0.25">
      <c r="A428" s="1"/>
      <c r="B428" s="1"/>
      <c r="C428" s="1"/>
      <c r="D428" s="1"/>
      <c r="E428" s="1"/>
      <c r="F428" s="3"/>
      <c r="G428" s="1"/>
      <c r="H428" s="1"/>
      <c r="I428" s="3"/>
      <c r="J428" s="1"/>
      <c r="P428" s="1"/>
      <c r="Q428" s="2"/>
      <c r="R428" s="1"/>
      <c r="S428" s="1"/>
      <c r="T428" s="3"/>
      <c r="U428" s="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75" customHeight="1" x14ac:dyDescent="0.25">
      <c r="A429" s="1"/>
      <c r="B429" s="1"/>
      <c r="C429" s="1"/>
      <c r="D429" s="1"/>
      <c r="E429" s="1"/>
      <c r="F429" s="3"/>
      <c r="G429" s="1"/>
      <c r="H429" s="1"/>
      <c r="I429" s="3"/>
      <c r="J429" s="1"/>
      <c r="P429" s="1"/>
      <c r="Q429" s="2"/>
      <c r="R429" s="1"/>
      <c r="S429" s="1"/>
      <c r="T429" s="3"/>
      <c r="U429" s="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75" customHeight="1" x14ac:dyDescent="0.25">
      <c r="A430" s="1"/>
      <c r="B430" s="1"/>
      <c r="C430" s="1"/>
      <c r="D430" s="1"/>
      <c r="E430" s="1"/>
      <c r="F430" s="3"/>
      <c r="G430" s="1"/>
      <c r="H430" s="1"/>
      <c r="I430" s="3"/>
      <c r="J430" s="1"/>
      <c r="P430" s="1"/>
      <c r="Q430" s="2"/>
      <c r="R430" s="1"/>
      <c r="S430" s="1"/>
      <c r="T430" s="3"/>
      <c r="U430" s="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75" customHeight="1" x14ac:dyDescent="0.25">
      <c r="A431" s="1"/>
      <c r="B431" s="1"/>
      <c r="C431" s="1"/>
      <c r="D431" s="1"/>
      <c r="E431" s="1"/>
      <c r="F431" s="3"/>
      <c r="G431" s="1"/>
      <c r="H431" s="1"/>
      <c r="I431" s="3"/>
      <c r="J431" s="1"/>
      <c r="P431" s="1"/>
      <c r="Q431" s="2"/>
      <c r="R431" s="1"/>
      <c r="S431" s="1"/>
      <c r="T431" s="3"/>
      <c r="U431" s="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75" customHeight="1" x14ac:dyDescent="0.25">
      <c r="A432" s="1"/>
      <c r="B432" s="1"/>
      <c r="C432" s="1"/>
      <c r="D432" s="1"/>
      <c r="E432" s="1"/>
      <c r="F432" s="3"/>
      <c r="G432" s="1"/>
      <c r="H432" s="1"/>
      <c r="I432" s="3"/>
      <c r="J432" s="1"/>
      <c r="P432" s="1"/>
      <c r="Q432" s="2"/>
      <c r="R432" s="1"/>
      <c r="S432" s="1"/>
      <c r="T432" s="3"/>
      <c r="U432" s="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75" customHeight="1" x14ac:dyDescent="0.25">
      <c r="A433" s="1"/>
      <c r="B433" s="1"/>
      <c r="C433" s="1"/>
      <c r="D433" s="1"/>
      <c r="E433" s="1"/>
      <c r="F433" s="3"/>
      <c r="G433" s="1"/>
      <c r="H433" s="1"/>
      <c r="I433" s="3"/>
      <c r="J433" s="1"/>
      <c r="P433" s="1"/>
      <c r="Q433" s="2"/>
      <c r="R433" s="1"/>
      <c r="S433" s="1"/>
      <c r="T433" s="3"/>
      <c r="U433" s="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75" customHeight="1" x14ac:dyDescent="0.25">
      <c r="A434" s="1"/>
      <c r="B434" s="1"/>
      <c r="C434" s="1"/>
      <c r="D434" s="1"/>
      <c r="E434" s="1"/>
      <c r="F434" s="3"/>
      <c r="G434" s="1"/>
      <c r="H434" s="1"/>
      <c r="I434" s="3"/>
      <c r="J434" s="1"/>
      <c r="P434" s="1"/>
      <c r="Q434" s="2"/>
      <c r="R434" s="1"/>
      <c r="S434" s="1"/>
      <c r="T434" s="3"/>
      <c r="U434" s="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75" customHeight="1" x14ac:dyDescent="0.25">
      <c r="A435" s="1"/>
      <c r="B435" s="1"/>
      <c r="C435" s="1"/>
      <c r="D435" s="1"/>
      <c r="E435" s="1"/>
      <c r="F435" s="3"/>
      <c r="G435" s="1"/>
      <c r="H435" s="1"/>
      <c r="I435" s="3"/>
      <c r="J435" s="1"/>
      <c r="P435" s="1"/>
      <c r="Q435" s="2"/>
      <c r="R435" s="1"/>
      <c r="S435" s="1"/>
      <c r="T435" s="3"/>
      <c r="U435" s="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75" customHeight="1" x14ac:dyDescent="0.25">
      <c r="A436" s="1"/>
      <c r="B436" s="1"/>
      <c r="C436" s="1"/>
      <c r="D436" s="1"/>
      <c r="E436" s="1"/>
      <c r="F436" s="3"/>
      <c r="G436" s="1"/>
      <c r="H436" s="1"/>
      <c r="I436" s="3"/>
      <c r="J436" s="1"/>
      <c r="P436" s="1"/>
      <c r="Q436" s="2"/>
      <c r="R436" s="1"/>
      <c r="S436" s="1"/>
      <c r="T436" s="3"/>
      <c r="U436" s="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75" customHeight="1" x14ac:dyDescent="0.25">
      <c r="A437" s="1"/>
      <c r="B437" s="1"/>
      <c r="C437" s="1"/>
      <c r="D437" s="1"/>
      <c r="E437" s="1"/>
      <c r="F437" s="3"/>
      <c r="G437" s="1"/>
      <c r="H437" s="1"/>
      <c r="I437" s="3"/>
      <c r="J437" s="1"/>
      <c r="P437" s="1"/>
      <c r="Q437" s="2"/>
      <c r="R437" s="1"/>
      <c r="S437" s="1"/>
      <c r="T437" s="3"/>
      <c r="U437" s="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75" customHeight="1" x14ac:dyDescent="0.25">
      <c r="A438" s="1"/>
      <c r="B438" s="1"/>
      <c r="C438" s="1"/>
      <c r="D438" s="1"/>
      <c r="E438" s="1"/>
      <c r="F438" s="3"/>
      <c r="G438" s="1"/>
      <c r="H438" s="1"/>
      <c r="I438" s="3"/>
      <c r="J438" s="1"/>
      <c r="P438" s="1"/>
      <c r="Q438" s="2"/>
      <c r="R438" s="1"/>
      <c r="S438" s="1"/>
      <c r="T438" s="3"/>
      <c r="U438" s="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75" customHeight="1" x14ac:dyDescent="0.25">
      <c r="A439" s="1"/>
      <c r="B439" s="1"/>
      <c r="C439" s="1"/>
      <c r="D439" s="1"/>
      <c r="E439" s="1"/>
      <c r="F439" s="3"/>
      <c r="G439" s="1"/>
      <c r="H439" s="1"/>
      <c r="I439" s="3"/>
      <c r="J439" s="1"/>
      <c r="P439" s="1"/>
      <c r="Q439" s="2"/>
      <c r="R439" s="1"/>
      <c r="S439" s="1"/>
      <c r="T439" s="3"/>
      <c r="U439" s="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75" customHeight="1" x14ac:dyDescent="0.25">
      <c r="A440" s="1"/>
      <c r="B440" s="1"/>
      <c r="C440" s="1"/>
      <c r="D440" s="1"/>
      <c r="E440" s="1"/>
      <c r="F440" s="3"/>
      <c r="G440" s="1"/>
      <c r="H440" s="1"/>
      <c r="I440" s="3"/>
      <c r="J440" s="1"/>
      <c r="P440" s="1"/>
      <c r="Q440" s="2"/>
      <c r="R440" s="1"/>
      <c r="S440" s="1"/>
      <c r="T440" s="3"/>
      <c r="U440" s="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75" customHeight="1" x14ac:dyDescent="0.25">
      <c r="A441" s="1"/>
      <c r="B441" s="1"/>
      <c r="C441" s="1"/>
      <c r="D441" s="1"/>
      <c r="E441" s="1"/>
      <c r="F441" s="3"/>
      <c r="G441" s="1"/>
      <c r="H441" s="1"/>
      <c r="I441" s="3"/>
      <c r="J441" s="1"/>
      <c r="P441" s="1"/>
      <c r="Q441" s="2"/>
      <c r="R441" s="1"/>
      <c r="S441" s="1"/>
      <c r="T441" s="3"/>
      <c r="U441" s="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75" customHeight="1" x14ac:dyDescent="0.25">
      <c r="A442" s="1"/>
      <c r="B442" s="1"/>
      <c r="C442" s="1"/>
      <c r="D442" s="1"/>
      <c r="E442" s="1"/>
      <c r="F442" s="3"/>
      <c r="G442" s="1"/>
      <c r="H442" s="1"/>
      <c r="I442" s="3"/>
      <c r="J442" s="1"/>
      <c r="P442" s="1"/>
      <c r="Q442" s="2"/>
      <c r="R442" s="1"/>
      <c r="S442" s="1"/>
      <c r="T442" s="3"/>
      <c r="U442" s="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75" customHeight="1" x14ac:dyDescent="0.25">
      <c r="A443" s="1"/>
      <c r="B443" s="1"/>
      <c r="C443" s="1"/>
      <c r="D443" s="1"/>
      <c r="E443" s="1"/>
      <c r="F443" s="3"/>
      <c r="G443" s="1"/>
      <c r="H443" s="1"/>
      <c r="I443" s="3"/>
      <c r="J443" s="1"/>
      <c r="P443" s="1"/>
      <c r="Q443" s="2"/>
      <c r="R443" s="1"/>
      <c r="S443" s="1"/>
      <c r="T443" s="3"/>
      <c r="U443" s="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75" customHeight="1" x14ac:dyDescent="0.25">
      <c r="A444" s="1"/>
      <c r="B444" s="1"/>
      <c r="C444" s="1"/>
      <c r="D444" s="1"/>
      <c r="E444" s="1"/>
      <c r="F444" s="3"/>
      <c r="G444" s="1"/>
      <c r="H444" s="1"/>
      <c r="I444" s="3"/>
      <c r="J444" s="1"/>
      <c r="P444" s="1"/>
      <c r="Q444" s="2"/>
      <c r="R444" s="1"/>
      <c r="S444" s="1"/>
      <c r="T444" s="3"/>
      <c r="U444" s="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75" customHeight="1" x14ac:dyDescent="0.25">
      <c r="A445" s="1"/>
      <c r="B445" s="1"/>
      <c r="C445" s="1"/>
      <c r="D445" s="1"/>
      <c r="E445" s="1"/>
      <c r="F445" s="3"/>
      <c r="G445" s="1"/>
      <c r="H445" s="1"/>
      <c r="I445" s="3"/>
      <c r="J445" s="1"/>
      <c r="P445" s="1"/>
      <c r="Q445" s="2"/>
      <c r="R445" s="1"/>
      <c r="S445" s="1"/>
      <c r="T445" s="3"/>
      <c r="U445" s="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75" customHeight="1" x14ac:dyDescent="0.25">
      <c r="A446" s="1"/>
      <c r="B446" s="1"/>
      <c r="C446" s="1"/>
      <c r="D446" s="1"/>
      <c r="E446" s="1"/>
      <c r="F446" s="3"/>
      <c r="G446" s="1"/>
      <c r="H446" s="1"/>
      <c r="I446" s="3"/>
      <c r="J446" s="1"/>
      <c r="P446" s="1"/>
      <c r="Q446" s="2"/>
      <c r="R446" s="1"/>
      <c r="S446" s="1"/>
      <c r="T446" s="3"/>
      <c r="U446" s="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75" customHeight="1" x14ac:dyDescent="0.25">
      <c r="A447" s="1"/>
      <c r="B447" s="1"/>
      <c r="C447" s="1"/>
      <c r="D447" s="1"/>
      <c r="E447" s="1"/>
      <c r="F447" s="3"/>
      <c r="G447" s="1"/>
      <c r="H447" s="1"/>
      <c r="I447" s="3"/>
      <c r="J447" s="1"/>
      <c r="P447" s="1"/>
      <c r="Q447" s="2"/>
      <c r="R447" s="1"/>
      <c r="S447" s="1"/>
      <c r="T447" s="3"/>
      <c r="U447" s="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75" customHeight="1" x14ac:dyDescent="0.25">
      <c r="A448" s="1"/>
      <c r="B448" s="1"/>
      <c r="C448" s="1"/>
      <c r="D448" s="1"/>
      <c r="E448" s="1"/>
      <c r="F448" s="3"/>
      <c r="G448" s="1"/>
      <c r="H448" s="1"/>
      <c r="I448" s="3"/>
      <c r="J448" s="1"/>
      <c r="P448" s="1"/>
      <c r="Q448" s="2"/>
      <c r="R448" s="1"/>
      <c r="S448" s="1"/>
      <c r="T448" s="3"/>
      <c r="U448" s="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75" customHeight="1" x14ac:dyDescent="0.25">
      <c r="A449" s="1"/>
      <c r="B449" s="1"/>
      <c r="C449" s="1"/>
      <c r="D449" s="1"/>
      <c r="E449" s="1"/>
      <c r="F449" s="3"/>
      <c r="G449" s="1"/>
      <c r="H449" s="1"/>
      <c r="I449" s="3"/>
      <c r="J449" s="1"/>
      <c r="P449" s="1"/>
      <c r="Q449" s="2"/>
      <c r="R449" s="1"/>
      <c r="S449" s="1"/>
      <c r="T449" s="3"/>
      <c r="U449" s="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75" customHeight="1" x14ac:dyDescent="0.25">
      <c r="A450" s="1"/>
      <c r="B450" s="1"/>
      <c r="C450" s="1"/>
      <c r="D450" s="1"/>
      <c r="E450" s="1"/>
      <c r="F450" s="3"/>
      <c r="G450" s="1"/>
      <c r="H450" s="1"/>
      <c r="I450" s="3"/>
      <c r="J450" s="1"/>
      <c r="P450" s="1"/>
      <c r="Q450" s="2"/>
      <c r="R450" s="1"/>
      <c r="S450" s="1"/>
      <c r="T450" s="3"/>
      <c r="U450" s="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75" customHeight="1" x14ac:dyDescent="0.25">
      <c r="A451" s="1"/>
      <c r="B451" s="1"/>
      <c r="C451" s="1"/>
      <c r="D451" s="1"/>
      <c r="E451" s="1"/>
      <c r="F451" s="3"/>
      <c r="G451" s="1"/>
      <c r="H451" s="1"/>
      <c r="I451" s="3"/>
      <c r="J451" s="1"/>
      <c r="P451" s="1"/>
      <c r="Q451" s="2"/>
      <c r="R451" s="1"/>
      <c r="S451" s="1"/>
      <c r="T451" s="3"/>
      <c r="U451" s="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75" customHeight="1" x14ac:dyDescent="0.25">
      <c r="A452" s="1"/>
      <c r="B452" s="1"/>
      <c r="C452" s="1"/>
      <c r="D452" s="1"/>
      <c r="E452" s="1"/>
      <c r="F452" s="3"/>
      <c r="G452" s="1"/>
      <c r="H452" s="1"/>
      <c r="I452" s="3"/>
      <c r="J452" s="1"/>
      <c r="P452" s="1"/>
      <c r="Q452" s="2"/>
      <c r="R452" s="1"/>
      <c r="S452" s="1"/>
      <c r="T452" s="3"/>
      <c r="U452" s="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75" customHeight="1" x14ac:dyDescent="0.25">
      <c r="A453" s="1"/>
      <c r="B453" s="1"/>
      <c r="C453" s="1"/>
      <c r="D453" s="1"/>
      <c r="E453" s="1"/>
      <c r="F453" s="3"/>
      <c r="G453" s="1"/>
      <c r="H453" s="1"/>
      <c r="I453" s="3"/>
      <c r="J453" s="1"/>
      <c r="P453" s="1"/>
      <c r="Q453" s="2"/>
      <c r="R453" s="1"/>
      <c r="S453" s="1"/>
      <c r="T453" s="3"/>
      <c r="U453" s="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75" customHeight="1" x14ac:dyDescent="0.25">
      <c r="A454" s="1"/>
      <c r="B454" s="1"/>
      <c r="C454" s="1"/>
      <c r="D454" s="1"/>
      <c r="E454" s="1"/>
      <c r="F454" s="3"/>
      <c r="G454" s="1"/>
      <c r="H454" s="1"/>
      <c r="I454" s="3"/>
      <c r="J454" s="1"/>
      <c r="P454" s="1"/>
      <c r="Q454" s="2"/>
      <c r="R454" s="1"/>
      <c r="S454" s="1"/>
      <c r="T454" s="3"/>
      <c r="U454" s="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75" customHeight="1" x14ac:dyDescent="0.25">
      <c r="A455" s="1"/>
      <c r="B455" s="1"/>
      <c r="C455" s="1"/>
      <c r="D455" s="1"/>
      <c r="E455" s="1"/>
      <c r="F455" s="3"/>
      <c r="G455" s="1"/>
      <c r="H455" s="1"/>
      <c r="I455" s="3"/>
      <c r="J455" s="1"/>
      <c r="P455" s="1"/>
      <c r="Q455" s="2"/>
      <c r="R455" s="1"/>
      <c r="S455" s="1"/>
      <c r="T455" s="3"/>
      <c r="U455" s="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75" customHeight="1" x14ac:dyDescent="0.25">
      <c r="A456" s="1"/>
      <c r="B456" s="1"/>
      <c r="C456" s="1"/>
      <c r="D456" s="1"/>
      <c r="E456" s="1"/>
      <c r="F456" s="3"/>
      <c r="G456" s="1"/>
      <c r="H456" s="1"/>
      <c r="I456" s="3"/>
      <c r="J456" s="1"/>
      <c r="P456" s="1"/>
      <c r="Q456" s="2"/>
      <c r="R456" s="1"/>
      <c r="S456" s="1"/>
      <c r="T456" s="3"/>
      <c r="U456" s="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75" customHeight="1" x14ac:dyDescent="0.25">
      <c r="A457" s="1"/>
      <c r="B457" s="1"/>
      <c r="C457" s="1"/>
      <c r="D457" s="1"/>
      <c r="E457" s="1"/>
      <c r="F457" s="3"/>
      <c r="G457" s="1"/>
      <c r="H457" s="1"/>
      <c r="I457" s="3"/>
      <c r="J457" s="1"/>
      <c r="P457" s="1"/>
      <c r="Q457" s="2"/>
      <c r="R457" s="1"/>
      <c r="S457" s="1"/>
      <c r="T457" s="3"/>
      <c r="U457" s="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75" customHeight="1" x14ac:dyDescent="0.25">
      <c r="A458" s="1"/>
      <c r="B458" s="1"/>
      <c r="C458" s="1"/>
      <c r="D458" s="1"/>
      <c r="E458" s="1"/>
      <c r="F458" s="3"/>
      <c r="G458" s="1"/>
      <c r="H458" s="1"/>
      <c r="I458" s="3"/>
      <c r="J458" s="1"/>
      <c r="P458" s="1"/>
      <c r="Q458" s="2"/>
      <c r="R458" s="1"/>
      <c r="S458" s="1"/>
      <c r="T458" s="3"/>
      <c r="U458" s="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75" customHeight="1" x14ac:dyDescent="0.25">
      <c r="A459" s="1"/>
      <c r="B459" s="1"/>
      <c r="C459" s="1"/>
      <c r="D459" s="1"/>
      <c r="E459" s="1"/>
      <c r="F459" s="3"/>
      <c r="G459" s="1"/>
      <c r="H459" s="1"/>
      <c r="I459" s="3"/>
      <c r="J459" s="1"/>
      <c r="P459" s="1"/>
      <c r="Q459" s="2"/>
      <c r="R459" s="1"/>
      <c r="S459" s="1"/>
      <c r="T459" s="3"/>
      <c r="U459" s="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75" customHeight="1" x14ac:dyDescent="0.25">
      <c r="A460" s="1"/>
      <c r="B460" s="1"/>
      <c r="C460" s="1"/>
      <c r="D460" s="1"/>
      <c r="E460" s="1"/>
      <c r="F460" s="3"/>
      <c r="G460" s="1"/>
      <c r="H460" s="1"/>
      <c r="I460" s="3"/>
      <c r="J460" s="1"/>
      <c r="P460" s="1"/>
      <c r="Q460" s="2"/>
      <c r="R460" s="1"/>
      <c r="S460" s="1"/>
      <c r="T460" s="3"/>
      <c r="U460" s="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75" customHeight="1" x14ac:dyDescent="0.25">
      <c r="A461" s="1"/>
      <c r="B461" s="1"/>
      <c r="C461" s="1"/>
      <c r="D461" s="1"/>
      <c r="E461" s="1"/>
      <c r="F461" s="3"/>
      <c r="G461" s="1"/>
      <c r="H461" s="1"/>
      <c r="I461" s="3"/>
      <c r="J461" s="1"/>
      <c r="P461" s="1"/>
      <c r="Q461" s="2"/>
      <c r="R461" s="1"/>
      <c r="S461" s="1"/>
      <c r="T461" s="3"/>
      <c r="U461" s="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75" customHeight="1" x14ac:dyDescent="0.25">
      <c r="A462" s="1"/>
      <c r="B462" s="1"/>
      <c r="C462" s="1"/>
      <c r="D462" s="1"/>
      <c r="E462" s="1"/>
      <c r="F462" s="3"/>
      <c r="G462" s="1"/>
      <c r="H462" s="1"/>
      <c r="I462" s="3"/>
      <c r="J462" s="1"/>
      <c r="P462" s="1"/>
      <c r="Q462" s="2"/>
      <c r="R462" s="1"/>
      <c r="S462" s="1"/>
      <c r="T462" s="3"/>
      <c r="U462" s="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75" customHeight="1" x14ac:dyDescent="0.25">
      <c r="A463" s="1"/>
      <c r="B463" s="1"/>
      <c r="C463" s="1"/>
      <c r="D463" s="1"/>
      <c r="E463" s="1"/>
      <c r="F463" s="3"/>
      <c r="G463" s="1"/>
      <c r="H463" s="1"/>
      <c r="I463" s="3"/>
      <c r="J463" s="1"/>
      <c r="P463" s="1"/>
      <c r="Q463" s="2"/>
      <c r="R463" s="1"/>
      <c r="S463" s="1"/>
      <c r="T463" s="3"/>
      <c r="U463" s="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75" customHeight="1" x14ac:dyDescent="0.25">
      <c r="A464" s="1"/>
      <c r="B464" s="1"/>
      <c r="C464" s="1"/>
      <c r="D464" s="1"/>
      <c r="E464" s="1"/>
      <c r="F464" s="3"/>
      <c r="G464" s="1"/>
      <c r="H464" s="1"/>
      <c r="I464" s="3"/>
      <c r="J464" s="1"/>
      <c r="P464" s="1"/>
      <c r="Q464" s="2"/>
      <c r="R464" s="1"/>
      <c r="S464" s="1"/>
      <c r="T464" s="3"/>
      <c r="U464" s="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75" customHeight="1" x14ac:dyDescent="0.25">
      <c r="A465" s="1"/>
      <c r="B465" s="1"/>
      <c r="C465" s="1"/>
      <c r="D465" s="1"/>
      <c r="E465" s="1"/>
      <c r="F465" s="3"/>
      <c r="G465" s="1"/>
      <c r="H465" s="1"/>
      <c r="I465" s="3"/>
      <c r="J465" s="1"/>
      <c r="P465" s="1"/>
      <c r="Q465" s="2"/>
      <c r="R465" s="1"/>
      <c r="S465" s="1"/>
      <c r="T465" s="3"/>
      <c r="U465" s="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75" customHeight="1" x14ac:dyDescent="0.25">
      <c r="A466" s="1"/>
      <c r="B466" s="1"/>
      <c r="C466" s="1"/>
      <c r="D466" s="1"/>
      <c r="E466" s="1"/>
      <c r="F466" s="3"/>
      <c r="G466" s="1"/>
      <c r="H466" s="1"/>
      <c r="I466" s="3"/>
      <c r="J466" s="1"/>
      <c r="P466" s="1"/>
      <c r="Q466" s="2"/>
      <c r="R466" s="1"/>
      <c r="S466" s="1"/>
      <c r="T466" s="3"/>
      <c r="U466" s="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75" customHeight="1" x14ac:dyDescent="0.25">
      <c r="A467" s="1"/>
      <c r="B467" s="1"/>
      <c r="C467" s="1"/>
      <c r="D467" s="1"/>
      <c r="E467" s="1"/>
      <c r="F467" s="3"/>
      <c r="G467" s="1"/>
      <c r="H467" s="1"/>
      <c r="I467" s="3"/>
      <c r="J467" s="1"/>
      <c r="P467" s="1"/>
      <c r="Q467" s="2"/>
      <c r="R467" s="1"/>
      <c r="S467" s="1"/>
      <c r="T467" s="3"/>
      <c r="U467" s="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75" customHeight="1" x14ac:dyDescent="0.25">
      <c r="A468" s="1"/>
      <c r="B468" s="1"/>
      <c r="C468" s="1"/>
      <c r="D468" s="1"/>
      <c r="E468" s="1"/>
      <c r="F468" s="3"/>
      <c r="G468" s="1"/>
      <c r="H468" s="1"/>
      <c r="I468" s="3"/>
      <c r="J468" s="1"/>
      <c r="P468" s="1"/>
      <c r="Q468" s="2"/>
      <c r="R468" s="1"/>
      <c r="S468" s="1"/>
      <c r="T468" s="3"/>
      <c r="U468" s="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75" customHeight="1" x14ac:dyDescent="0.25">
      <c r="A469" s="1"/>
      <c r="B469" s="1"/>
      <c r="C469" s="1"/>
      <c r="D469" s="1"/>
      <c r="E469" s="1"/>
      <c r="F469" s="3"/>
      <c r="G469" s="1"/>
      <c r="H469" s="1"/>
      <c r="I469" s="3"/>
      <c r="J469" s="1"/>
      <c r="P469" s="1"/>
      <c r="Q469" s="2"/>
      <c r="R469" s="1"/>
      <c r="S469" s="1"/>
      <c r="T469" s="3"/>
      <c r="U469" s="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75" customHeight="1" x14ac:dyDescent="0.25">
      <c r="A470" s="1"/>
      <c r="B470" s="1"/>
      <c r="C470" s="1"/>
      <c r="D470" s="1"/>
      <c r="E470" s="1"/>
      <c r="F470" s="3"/>
      <c r="G470" s="1"/>
      <c r="H470" s="1"/>
      <c r="I470" s="3"/>
      <c r="J470" s="1"/>
      <c r="P470" s="1"/>
      <c r="Q470" s="2"/>
      <c r="R470" s="1"/>
      <c r="S470" s="1"/>
      <c r="T470" s="3"/>
      <c r="U470" s="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75" customHeight="1" x14ac:dyDescent="0.25">
      <c r="A471" s="1"/>
      <c r="B471" s="1"/>
      <c r="C471" s="1"/>
      <c r="D471" s="1"/>
      <c r="E471" s="1"/>
      <c r="F471" s="3"/>
      <c r="G471" s="1"/>
      <c r="H471" s="1"/>
      <c r="I471" s="3"/>
      <c r="J471" s="1"/>
      <c r="P471" s="1"/>
      <c r="Q471" s="2"/>
      <c r="R471" s="1"/>
      <c r="S471" s="1"/>
      <c r="T471" s="3"/>
      <c r="U471" s="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75" customHeight="1" x14ac:dyDescent="0.25">
      <c r="A472" s="1"/>
      <c r="B472" s="1"/>
      <c r="C472" s="1"/>
      <c r="D472" s="1"/>
      <c r="E472" s="1"/>
      <c r="F472" s="3"/>
      <c r="G472" s="1"/>
      <c r="H472" s="1"/>
      <c r="I472" s="3"/>
      <c r="J472" s="1"/>
      <c r="P472" s="1"/>
      <c r="Q472" s="2"/>
      <c r="R472" s="1"/>
      <c r="S472" s="1"/>
      <c r="T472" s="3"/>
      <c r="U472" s="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75" customHeight="1" x14ac:dyDescent="0.25">
      <c r="A473" s="1"/>
      <c r="B473" s="1"/>
      <c r="C473" s="1"/>
      <c r="D473" s="1"/>
      <c r="E473" s="1"/>
      <c r="F473" s="3"/>
      <c r="G473" s="1"/>
      <c r="H473" s="1"/>
      <c r="I473" s="3"/>
      <c r="J473" s="1"/>
      <c r="P473" s="1"/>
      <c r="Q473" s="2"/>
      <c r="R473" s="1"/>
      <c r="S473" s="1"/>
      <c r="T473" s="3"/>
      <c r="U473" s="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75" customHeight="1" x14ac:dyDescent="0.25">
      <c r="A474" s="1"/>
      <c r="B474" s="1"/>
      <c r="C474" s="1"/>
      <c r="D474" s="1"/>
      <c r="E474" s="1"/>
      <c r="F474" s="3"/>
      <c r="G474" s="1"/>
      <c r="H474" s="1"/>
      <c r="I474" s="3"/>
      <c r="J474" s="1"/>
      <c r="P474" s="1"/>
      <c r="Q474" s="2"/>
      <c r="R474" s="1"/>
      <c r="S474" s="1"/>
      <c r="T474" s="3"/>
      <c r="U474" s="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75" customHeight="1" x14ac:dyDescent="0.25">
      <c r="A475" s="1"/>
      <c r="B475" s="1"/>
      <c r="C475" s="1"/>
      <c r="D475" s="1"/>
      <c r="E475" s="1"/>
      <c r="F475" s="3"/>
      <c r="G475" s="1"/>
      <c r="H475" s="1"/>
      <c r="I475" s="3"/>
      <c r="J475" s="1"/>
      <c r="P475" s="1"/>
      <c r="Q475" s="2"/>
      <c r="R475" s="1"/>
      <c r="S475" s="1"/>
      <c r="T475" s="3"/>
      <c r="U475" s="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75" customHeight="1" x14ac:dyDescent="0.25">
      <c r="A476" s="1"/>
      <c r="B476" s="1"/>
      <c r="C476" s="1"/>
      <c r="D476" s="1"/>
      <c r="E476" s="1"/>
      <c r="F476" s="3"/>
      <c r="G476" s="1"/>
      <c r="H476" s="1"/>
      <c r="I476" s="3"/>
      <c r="J476" s="1"/>
      <c r="P476" s="1"/>
      <c r="Q476" s="2"/>
      <c r="R476" s="1"/>
      <c r="S476" s="1"/>
      <c r="T476" s="3"/>
      <c r="U476" s="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75" customHeight="1" x14ac:dyDescent="0.25">
      <c r="A477" s="1"/>
      <c r="B477" s="1"/>
      <c r="C477" s="1"/>
      <c r="D477" s="1"/>
      <c r="E477" s="1"/>
      <c r="F477" s="3"/>
      <c r="G477" s="1"/>
      <c r="H477" s="1"/>
      <c r="I477" s="3"/>
      <c r="J477" s="1"/>
      <c r="P477" s="1"/>
      <c r="Q477" s="2"/>
      <c r="R477" s="1"/>
      <c r="S477" s="1"/>
      <c r="T477" s="3"/>
      <c r="U477" s="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75" customHeight="1" x14ac:dyDescent="0.25">
      <c r="A478" s="1"/>
      <c r="B478" s="1"/>
      <c r="C478" s="1"/>
      <c r="D478" s="1"/>
      <c r="E478" s="1"/>
      <c r="F478" s="3"/>
      <c r="G478" s="1"/>
      <c r="H478" s="1"/>
      <c r="I478" s="3"/>
      <c r="J478" s="1"/>
      <c r="P478" s="1"/>
      <c r="Q478" s="2"/>
      <c r="R478" s="1"/>
      <c r="S478" s="1"/>
      <c r="T478" s="3"/>
      <c r="U478" s="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75" customHeight="1" x14ac:dyDescent="0.25">
      <c r="A479" s="1"/>
      <c r="B479" s="1"/>
      <c r="C479" s="1"/>
      <c r="D479" s="1"/>
      <c r="E479" s="1"/>
      <c r="F479" s="3"/>
      <c r="G479" s="1"/>
      <c r="H479" s="1"/>
      <c r="I479" s="3"/>
      <c r="J479" s="1"/>
      <c r="P479" s="1"/>
      <c r="Q479" s="2"/>
      <c r="R479" s="1"/>
      <c r="S479" s="1"/>
      <c r="T479" s="3"/>
      <c r="U479" s="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75" customHeight="1" x14ac:dyDescent="0.25">
      <c r="A480" s="1"/>
      <c r="B480" s="1"/>
      <c r="C480" s="1"/>
      <c r="D480" s="1"/>
      <c r="E480" s="1"/>
      <c r="F480" s="3"/>
      <c r="G480" s="1"/>
      <c r="H480" s="1"/>
      <c r="I480" s="3"/>
      <c r="J480" s="1"/>
      <c r="P480" s="1"/>
      <c r="Q480" s="2"/>
      <c r="R480" s="1"/>
      <c r="S480" s="1"/>
      <c r="T480" s="3"/>
      <c r="U480" s="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75" customHeight="1" x14ac:dyDescent="0.25">
      <c r="A481" s="1"/>
      <c r="B481" s="1"/>
      <c r="C481" s="1"/>
      <c r="D481" s="1"/>
      <c r="E481" s="1"/>
      <c r="F481" s="3"/>
      <c r="G481" s="1"/>
      <c r="H481" s="1"/>
      <c r="I481" s="3"/>
      <c r="J481" s="1"/>
      <c r="P481" s="1"/>
      <c r="Q481" s="2"/>
      <c r="R481" s="1"/>
      <c r="S481" s="1"/>
      <c r="T481" s="3"/>
      <c r="U481" s="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75" customHeight="1" x14ac:dyDescent="0.25">
      <c r="A482" s="1"/>
      <c r="B482" s="1"/>
      <c r="C482" s="1"/>
      <c r="D482" s="1"/>
      <c r="E482" s="1"/>
      <c r="F482" s="3"/>
      <c r="G482" s="1"/>
      <c r="H482" s="1"/>
      <c r="I482" s="3"/>
      <c r="J482" s="1"/>
      <c r="P482" s="1"/>
      <c r="Q482" s="2"/>
      <c r="R482" s="1"/>
      <c r="S482" s="1"/>
      <c r="T482" s="3"/>
      <c r="U482" s="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75" customHeight="1" x14ac:dyDescent="0.25">
      <c r="A483" s="1"/>
      <c r="B483" s="1"/>
      <c r="C483" s="1"/>
      <c r="D483" s="1"/>
      <c r="E483" s="1"/>
      <c r="F483" s="3"/>
      <c r="G483" s="1"/>
      <c r="H483" s="1"/>
      <c r="I483" s="3"/>
      <c r="J483" s="1"/>
      <c r="P483" s="1"/>
      <c r="Q483" s="2"/>
      <c r="R483" s="1"/>
      <c r="S483" s="1"/>
      <c r="T483" s="3"/>
      <c r="U483" s="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75" customHeight="1" x14ac:dyDescent="0.25">
      <c r="A484" s="1"/>
      <c r="B484" s="1"/>
      <c r="C484" s="1"/>
      <c r="D484" s="1"/>
      <c r="E484" s="1"/>
      <c r="F484" s="3"/>
      <c r="G484" s="1"/>
      <c r="H484" s="1"/>
      <c r="I484" s="3"/>
      <c r="J484" s="1"/>
      <c r="P484" s="1"/>
      <c r="Q484" s="2"/>
      <c r="R484" s="1"/>
      <c r="S484" s="1"/>
      <c r="T484" s="3"/>
      <c r="U484" s="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75" customHeight="1" x14ac:dyDescent="0.25">
      <c r="A485" s="1"/>
      <c r="B485" s="1"/>
      <c r="C485" s="1"/>
      <c r="D485" s="1"/>
      <c r="E485" s="1"/>
      <c r="F485" s="3"/>
      <c r="G485" s="1"/>
      <c r="H485" s="1"/>
      <c r="I485" s="3"/>
      <c r="J485" s="1"/>
      <c r="P485" s="1"/>
      <c r="Q485" s="2"/>
      <c r="R485" s="1"/>
      <c r="S485" s="1"/>
      <c r="T485" s="3"/>
      <c r="U485" s="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75" customHeight="1" x14ac:dyDescent="0.25">
      <c r="A486" s="1"/>
      <c r="B486" s="1"/>
      <c r="C486" s="1"/>
      <c r="D486" s="1"/>
      <c r="E486" s="1"/>
      <c r="F486" s="3"/>
      <c r="G486" s="1"/>
      <c r="H486" s="1"/>
      <c r="I486" s="3"/>
      <c r="J486" s="1"/>
      <c r="P486" s="1"/>
      <c r="Q486" s="2"/>
      <c r="R486" s="1"/>
      <c r="S486" s="1"/>
      <c r="T486" s="3"/>
      <c r="U486" s="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75" customHeight="1" x14ac:dyDescent="0.25">
      <c r="A487" s="1"/>
      <c r="B487" s="1"/>
      <c r="C487" s="1"/>
      <c r="D487" s="1"/>
      <c r="E487" s="1"/>
      <c r="F487" s="3"/>
      <c r="G487" s="1"/>
      <c r="H487" s="1"/>
      <c r="I487" s="3"/>
      <c r="J487" s="1"/>
      <c r="P487" s="1"/>
      <c r="Q487" s="2"/>
      <c r="R487" s="1"/>
      <c r="S487" s="1"/>
      <c r="T487" s="3"/>
      <c r="U487" s="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75" customHeight="1" x14ac:dyDescent="0.25">
      <c r="A488" s="1"/>
      <c r="B488" s="1"/>
      <c r="C488" s="1"/>
      <c r="D488" s="1"/>
      <c r="E488" s="1"/>
      <c r="F488" s="3"/>
      <c r="G488" s="1"/>
      <c r="H488" s="1"/>
      <c r="I488" s="3"/>
      <c r="J488" s="1"/>
      <c r="P488" s="1"/>
      <c r="Q488" s="2"/>
      <c r="R488" s="1"/>
      <c r="S488" s="1"/>
      <c r="T488" s="3"/>
      <c r="U488" s="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75" customHeight="1" x14ac:dyDescent="0.25">
      <c r="A489" s="1"/>
      <c r="B489" s="1"/>
      <c r="C489" s="1"/>
      <c r="D489" s="1"/>
      <c r="E489" s="1"/>
      <c r="F489" s="3"/>
      <c r="G489" s="1"/>
      <c r="H489" s="1"/>
      <c r="I489" s="3"/>
      <c r="J489" s="1"/>
      <c r="P489" s="1"/>
      <c r="Q489" s="2"/>
      <c r="R489" s="1"/>
      <c r="S489" s="1"/>
      <c r="T489" s="3"/>
      <c r="U489" s="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75" customHeight="1" x14ac:dyDescent="0.25">
      <c r="A490" s="1"/>
      <c r="B490" s="1"/>
      <c r="C490" s="1"/>
      <c r="D490" s="1"/>
      <c r="E490" s="1"/>
      <c r="F490" s="3"/>
      <c r="G490" s="1"/>
      <c r="H490" s="1"/>
      <c r="I490" s="3"/>
      <c r="J490" s="1"/>
      <c r="P490" s="1"/>
      <c r="Q490" s="2"/>
      <c r="R490" s="1"/>
      <c r="S490" s="1"/>
      <c r="T490" s="3"/>
      <c r="U490" s="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75" customHeight="1" x14ac:dyDescent="0.25">
      <c r="A491" s="1"/>
      <c r="B491" s="1"/>
      <c r="C491" s="1"/>
      <c r="D491" s="1"/>
      <c r="E491" s="1"/>
      <c r="F491" s="3"/>
      <c r="G491" s="1"/>
      <c r="H491" s="1"/>
      <c r="I491" s="3"/>
      <c r="J491" s="1"/>
      <c r="P491" s="1"/>
      <c r="Q491" s="2"/>
      <c r="R491" s="1"/>
      <c r="S491" s="1"/>
      <c r="T491" s="3"/>
      <c r="U491" s="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75" customHeight="1" x14ac:dyDescent="0.25">
      <c r="A492" s="1"/>
      <c r="B492" s="1"/>
      <c r="C492" s="1"/>
      <c r="D492" s="1"/>
      <c r="E492" s="1"/>
      <c r="F492" s="3"/>
      <c r="G492" s="1"/>
      <c r="H492" s="1"/>
      <c r="I492" s="3"/>
      <c r="J492" s="1"/>
      <c r="P492" s="1"/>
      <c r="Q492" s="2"/>
      <c r="R492" s="1"/>
      <c r="S492" s="1"/>
      <c r="T492" s="3"/>
      <c r="U492" s="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75" customHeight="1" x14ac:dyDescent="0.25">
      <c r="A493" s="1"/>
      <c r="B493" s="1"/>
      <c r="C493" s="1"/>
      <c r="D493" s="1"/>
      <c r="E493" s="1"/>
      <c r="F493" s="3"/>
      <c r="G493" s="1"/>
      <c r="H493" s="1"/>
      <c r="I493" s="3"/>
      <c r="J493" s="1"/>
      <c r="P493" s="1"/>
      <c r="Q493" s="2"/>
      <c r="R493" s="1"/>
      <c r="S493" s="1"/>
      <c r="T493" s="3"/>
      <c r="U493" s="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75" customHeight="1" x14ac:dyDescent="0.25">
      <c r="A494" s="1"/>
      <c r="B494" s="1"/>
      <c r="C494" s="1"/>
      <c r="D494" s="1"/>
      <c r="E494" s="1"/>
      <c r="F494" s="3"/>
      <c r="G494" s="1"/>
      <c r="H494" s="1"/>
      <c r="I494" s="3"/>
      <c r="J494" s="1"/>
      <c r="P494" s="1"/>
      <c r="Q494" s="2"/>
      <c r="R494" s="1"/>
      <c r="S494" s="1"/>
      <c r="T494" s="3"/>
      <c r="U494" s="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75" customHeight="1" x14ac:dyDescent="0.25">
      <c r="A495" s="1"/>
      <c r="B495" s="1"/>
      <c r="C495" s="1"/>
      <c r="D495" s="1"/>
      <c r="E495" s="1"/>
      <c r="F495" s="3"/>
      <c r="G495" s="1"/>
      <c r="H495" s="1"/>
      <c r="I495" s="3"/>
      <c r="J495" s="1"/>
      <c r="P495" s="1"/>
      <c r="Q495" s="2"/>
      <c r="R495" s="1"/>
      <c r="S495" s="1"/>
      <c r="T495" s="3"/>
      <c r="U495" s="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75" customHeight="1" x14ac:dyDescent="0.25">
      <c r="A496" s="1"/>
      <c r="B496" s="1"/>
      <c r="C496" s="1"/>
      <c r="D496" s="1"/>
      <c r="E496" s="1"/>
      <c r="F496" s="3"/>
      <c r="G496" s="1"/>
      <c r="H496" s="1"/>
      <c r="I496" s="3"/>
      <c r="J496" s="1"/>
      <c r="P496" s="1"/>
      <c r="Q496" s="2"/>
      <c r="R496" s="1"/>
      <c r="S496" s="1"/>
      <c r="T496" s="3"/>
      <c r="U496" s="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75" customHeight="1" x14ac:dyDescent="0.25">
      <c r="A497" s="1"/>
      <c r="B497" s="1"/>
      <c r="C497" s="1"/>
      <c r="D497" s="1"/>
      <c r="E497" s="1"/>
      <c r="F497" s="3"/>
      <c r="G497" s="1"/>
      <c r="H497" s="1"/>
      <c r="I497" s="3"/>
      <c r="J497" s="1"/>
      <c r="P497" s="1"/>
      <c r="Q497" s="2"/>
      <c r="R497" s="1"/>
      <c r="S497" s="1"/>
      <c r="T497" s="3"/>
      <c r="U497" s="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75" customHeight="1" x14ac:dyDescent="0.25">
      <c r="A498" s="1"/>
      <c r="B498" s="1"/>
      <c r="C498" s="1"/>
      <c r="D498" s="1"/>
      <c r="E498" s="1"/>
      <c r="F498" s="3"/>
      <c r="G498" s="1"/>
      <c r="H498" s="1"/>
      <c r="I498" s="3"/>
      <c r="J498" s="1"/>
      <c r="P498" s="1"/>
      <c r="Q498" s="2"/>
      <c r="R498" s="1"/>
      <c r="S498" s="1"/>
      <c r="T498" s="3"/>
      <c r="U498" s="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75" customHeight="1" x14ac:dyDescent="0.25">
      <c r="A499" s="1"/>
      <c r="B499" s="1"/>
      <c r="C499" s="1"/>
      <c r="D499" s="1"/>
      <c r="E499" s="1"/>
      <c r="F499" s="3"/>
      <c r="G499" s="1"/>
      <c r="H499" s="1"/>
      <c r="I499" s="3"/>
      <c r="J499" s="1"/>
      <c r="P499" s="1"/>
      <c r="Q499" s="2"/>
      <c r="R499" s="1"/>
      <c r="S499" s="1"/>
      <c r="T499" s="3"/>
      <c r="U499" s="3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75" customHeight="1" x14ac:dyDescent="0.25">
      <c r="A500" s="1"/>
      <c r="B500" s="1"/>
      <c r="C500" s="1"/>
      <c r="D500" s="1"/>
      <c r="E500" s="1"/>
      <c r="F500" s="3"/>
      <c r="G500" s="1"/>
      <c r="H500" s="1"/>
      <c r="I500" s="3"/>
      <c r="J500" s="1"/>
      <c r="P500" s="1"/>
      <c r="Q500" s="2"/>
      <c r="R500" s="1"/>
      <c r="S500" s="1"/>
      <c r="T500" s="3"/>
      <c r="U500" s="3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75" customHeight="1" x14ac:dyDescent="0.25">
      <c r="A501" s="1"/>
      <c r="B501" s="1"/>
      <c r="C501" s="1"/>
      <c r="D501" s="1"/>
      <c r="E501" s="1"/>
      <c r="F501" s="3"/>
      <c r="G501" s="1"/>
      <c r="H501" s="1"/>
      <c r="I501" s="3"/>
      <c r="J501" s="1"/>
      <c r="P501" s="1"/>
      <c r="Q501" s="2"/>
      <c r="R501" s="1"/>
      <c r="S501" s="1"/>
      <c r="T501" s="3"/>
      <c r="U501" s="3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75" customHeight="1" x14ac:dyDescent="0.25">
      <c r="A502" s="1"/>
      <c r="B502" s="1"/>
      <c r="C502" s="1"/>
      <c r="D502" s="1"/>
      <c r="E502" s="1"/>
      <c r="F502" s="3"/>
      <c r="G502" s="1"/>
      <c r="H502" s="1"/>
      <c r="I502" s="3"/>
      <c r="J502" s="1"/>
      <c r="P502" s="1"/>
      <c r="Q502" s="2"/>
      <c r="R502" s="1"/>
      <c r="S502" s="1"/>
      <c r="T502" s="3"/>
      <c r="U502" s="3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75" customHeight="1" x14ac:dyDescent="0.25">
      <c r="A503" s="1"/>
      <c r="B503" s="1"/>
      <c r="C503" s="1"/>
      <c r="D503" s="1"/>
      <c r="E503" s="1"/>
      <c r="F503" s="3"/>
      <c r="G503" s="1"/>
      <c r="H503" s="1"/>
      <c r="I503" s="3"/>
      <c r="J503" s="1"/>
      <c r="P503" s="1"/>
      <c r="Q503" s="2"/>
      <c r="R503" s="1"/>
      <c r="S503" s="1"/>
      <c r="T503" s="3"/>
      <c r="U503" s="3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75" customHeight="1" x14ac:dyDescent="0.25">
      <c r="A504" s="1"/>
      <c r="B504" s="1"/>
      <c r="C504" s="1"/>
      <c r="D504" s="1"/>
      <c r="E504" s="1"/>
      <c r="F504" s="3"/>
      <c r="G504" s="1"/>
      <c r="H504" s="1"/>
      <c r="I504" s="3"/>
      <c r="J504" s="1"/>
      <c r="P504" s="1"/>
      <c r="Q504" s="2"/>
      <c r="R504" s="1"/>
      <c r="S504" s="1"/>
      <c r="T504" s="3"/>
      <c r="U504" s="3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75" customHeight="1" x14ac:dyDescent="0.25">
      <c r="A505" s="1"/>
      <c r="B505" s="1"/>
      <c r="C505" s="1"/>
      <c r="D505" s="1"/>
      <c r="E505" s="1"/>
      <c r="F505" s="3"/>
      <c r="G505" s="1"/>
      <c r="H505" s="1"/>
      <c r="I505" s="3"/>
      <c r="J505" s="1"/>
      <c r="P505" s="1"/>
      <c r="Q505" s="2"/>
      <c r="R505" s="1"/>
      <c r="S505" s="1"/>
      <c r="T505" s="3"/>
      <c r="U505" s="3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75" customHeight="1" x14ac:dyDescent="0.25">
      <c r="A506" s="1"/>
      <c r="B506" s="1"/>
      <c r="C506" s="1"/>
      <c r="D506" s="1"/>
      <c r="E506" s="1"/>
      <c r="F506" s="3"/>
      <c r="G506" s="1"/>
      <c r="H506" s="1"/>
      <c r="I506" s="3"/>
      <c r="J506" s="1"/>
      <c r="P506" s="1"/>
      <c r="Q506" s="2"/>
      <c r="R506" s="1"/>
      <c r="S506" s="1"/>
      <c r="T506" s="3"/>
      <c r="U506" s="3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75" customHeight="1" x14ac:dyDescent="0.25">
      <c r="A507" s="1"/>
      <c r="B507" s="1"/>
      <c r="C507" s="1"/>
      <c r="D507" s="1"/>
      <c r="E507" s="1"/>
      <c r="F507" s="3"/>
      <c r="G507" s="1"/>
      <c r="H507" s="1"/>
      <c r="I507" s="3"/>
      <c r="J507" s="1"/>
      <c r="P507" s="1"/>
      <c r="Q507" s="2"/>
      <c r="R507" s="1"/>
      <c r="S507" s="1"/>
      <c r="T507" s="3"/>
      <c r="U507" s="3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75" customHeight="1" x14ac:dyDescent="0.25">
      <c r="A508" s="1"/>
      <c r="B508" s="1"/>
      <c r="C508" s="1"/>
      <c r="D508" s="1"/>
      <c r="E508" s="1"/>
      <c r="F508" s="3"/>
      <c r="G508" s="1"/>
      <c r="H508" s="1"/>
      <c r="I508" s="3"/>
      <c r="J508" s="1"/>
      <c r="P508" s="1"/>
      <c r="Q508" s="2"/>
      <c r="R508" s="1"/>
      <c r="S508" s="1"/>
      <c r="T508" s="3"/>
      <c r="U508" s="3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75" customHeight="1" x14ac:dyDescent="0.25">
      <c r="A509" s="1"/>
      <c r="B509" s="1"/>
      <c r="C509" s="1"/>
      <c r="D509" s="1"/>
      <c r="E509" s="1"/>
      <c r="F509" s="3"/>
      <c r="G509" s="1"/>
      <c r="H509" s="1"/>
      <c r="I509" s="3"/>
      <c r="J509" s="1"/>
      <c r="P509" s="1"/>
      <c r="Q509" s="2"/>
      <c r="R509" s="1"/>
      <c r="S509" s="1"/>
      <c r="T509" s="3"/>
      <c r="U509" s="3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75" customHeight="1" x14ac:dyDescent="0.25">
      <c r="A510" s="1"/>
      <c r="B510" s="1"/>
      <c r="C510" s="1"/>
      <c r="D510" s="1"/>
      <c r="E510" s="1"/>
      <c r="F510" s="3"/>
      <c r="G510" s="1"/>
      <c r="H510" s="1"/>
      <c r="I510" s="3"/>
      <c r="J510" s="1"/>
      <c r="P510" s="1"/>
      <c r="Q510" s="2"/>
      <c r="R510" s="1"/>
      <c r="S510" s="1"/>
      <c r="T510" s="3"/>
      <c r="U510" s="3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75" customHeight="1" x14ac:dyDescent="0.25">
      <c r="A511" s="1"/>
      <c r="B511" s="1"/>
      <c r="C511" s="1"/>
      <c r="D511" s="1"/>
      <c r="E511" s="1"/>
      <c r="F511" s="3"/>
      <c r="G511" s="1"/>
      <c r="H511" s="1"/>
      <c r="I511" s="3"/>
      <c r="J511" s="1"/>
      <c r="P511" s="1"/>
      <c r="Q511" s="2"/>
      <c r="R511" s="1"/>
      <c r="S511" s="1"/>
      <c r="T511" s="3"/>
      <c r="U511" s="3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75" customHeight="1" x14ac:dyDescent="0.25">
      <c r="A512" s="1"/>
      <c r="B512" s="1"/>
      <c r="C512" s="1"/>
      <c r="D512" s="1"/>
      <c r="E512" s="1"/>
      <c r="F512" s="3"/>
      <c r="G512" s="1"/>
      <c r="H512" s="1"/>
      <c r="I512" s="3"/>
      <c r="J512" s="1"/>
      <c r="P512" s="1"/>
      <c r="Q512" s="2"/>
      <c r="R512" s="1"/>
      <c r="S512" s="1"/>
      <c r="T512" s="3"/>
      <c r="U512" s="3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75" customHeight="1" x14ac:dyDescent="0.25">
      <c r="A513" s="1"/>
      <c r="B513" s="1"/>
      <c r="C513" s="1"/>
      <c r="D513" s="1"/>
      <c r="E513" s="1"/>
      <c r="F513" s="3"/>
      <c r="G513" s="1"/>
      <c r="H513" s="1"/>
      <c r="I513" s="3"/>
      <c r="J513" s="1"/>
      <c r="P513" s="1"/>
      <c r="Q513" s="2"/>
      <c r="R513" s="1"/>
      <c r="S513" s="1"/>
      <c r="T513" s="3"/>
      <c r="U513" s="3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75" customHeight="1" x14ac:dyDescent="0.25">
      <c r="A514" s="1"/>
      <c r="B514" s="1"/>
      <c r="C514" s="1"/>
      <c r="D514" s="1"/>
      <c r="E514" s="1"/>
      <c r="F514" s="3"/>
      <c r="G514" s="1"/>
      <c r="H514" s="1"/>
      <c r="I514" s="3"/>
      <c r="J514" s="1"/>
      <c r="P514" s="1"/>
      <c r="Q514" s="2"/>
      <c r="R514" s="1"/>
      <c r="S514" s="1"/>
      <c r="T514" s="3"/>
      <c r="U514" s="3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75" customHeight="1" x14ac:dyDescent="0.25">
      <c r="A515" s="1"/>
      <c r="B515" s="1"/>
      <c r="C515" s="1"/>
      <c r="D515" s="1"/>
      <c r="E515" s="1"/>
      <c r="F515" s="3"/>
      <c r="G515" s="1"/>
      <c r="H515" s="1"/>
      <c r="I515" s="3"/>
      <c r="J515" s="1"/>
      <c r="P515" s="1"/>
      <c r="Q515" s="2"/>
      <c r="R515" s="1"/>
      <c r="S515" s="1"/>
      <c r="T515" s="3"/>
      <c r="U515" s="3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75" customHeight="1" x14ac:dyDescent="0.25">
      <c r="A516" s="1"/>
      <c r="B516" s="1"/>
      <c r="C516" s="1"/>
      <c r="D516" s="1"/>
      <c r="E516" s="1"/>
      <c r="F516" s="3"/>
      <c r="G516" s="1"/>
      <c r="H516" s="1"/>
      <c r="I516" s="3"/>
      <c r="J516" s="1"/>
      <c r="P516" s="1"/>
      <c r="Q516" s="2"/>
      <c r="R516" s="1"/>
      <c r="S516" s="1"/>
      <c r="T516" s="3"/>
      <c r="U516" s="3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75" customHeight="1" x14ac:dyDescent="0.25">
      <c r="A517" s="1"/>
      <c r="B517" s="1"/>
      <c r="C517" s="1"/>
      <c r="D517" s="1"/>
      <c r="E517" s="1"/>
      <c r="F517" s="3"/>
      <c r="G517" s="1"/>
      <c r="H517" s="1"/>
      <c r="I517" s="3"/>
      <c r="J517" s="1"/>
      <c r="P517" s="1"/>
      <c r="Q517" s="2"/>
      <c r="R517" s="1"/>
      <c r="S517" s="1"/>
      <c r="T517" s="3"/>
      <c r="U517" s="3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75" customHeight="1" x14ac:dyDescent="0.25">
      <c r="A518" s="1"/>
      <c r="B518" s="1"/>
      <c r="C518" s="1"/>
      <c r="D518" s="1"/>
      <c r="E518" s="1"/>
      <c r="F518" s="3"/>
      <c r="G518" s="1"/>
      <c r="H518" s="1"/>
      <c r="I518" s="3"/>
      <c r="J518" s="1"/>
      <c r="P518" s="1"/>
      <c r="Q518" s="2"/>
      <c r="R518" s="1"/>
      <c r="S518" s="1"/>
      <c r="T518" s="3"/>
      <c r="U518" s="3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75" customHeight="1" x14ac:dyDescent="0.25">
      <c r="A519" s="1"/>
      <c r="B519" s="1"/>
      <c r="C519" s="1"/>
      <c r="D519" s="1"/>
      <c r="E519" s="1"/>
      <c r="F519" s="3"/>
      <c r="G519" s="1"/>
      <c r="H519" s="1"/>
      <c r="I519" s="3"/>
      <c r="J519" s="1"/>
      <c r="P519" s="1"/>
      <c r="Q519" s="2"/>
      <c r="R519" s="1"/>
      <c r="S519" s="1"/>
      <c r="T519" s="3"/>
      <c r="U519" s="3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75" customHeight="1" x14ac:dyDescent="0.25">
      <c r="A520" s="1"/>
      <c r="B520" s="1"/>
      <c r="C520" s="1"/>
      <c r="D520" s="1"/>
      <c r="E520" s="1"/>
      <c r="F520" s="3"/>
      <c r="G520" s="1"/>
      <c r="H520" s="1"/>
      <c r="I520" s="3"/>
      <c r="J520" s="1"/>
      <c r="P520" s="1"/>
      <c r="Q520" s="2"/>
      <c r="R520" s="1"/>
      <c r="S520" s="1"/>
      <c r="T520" s="3"/>
      <c r="U520" s="3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75" customHeight="1" x14ac:dyDescent="0.25">
      <c r="A521" s="1"/>
      <c r="B521" s="1"/>
      <c r="C521" s="1"/>
      <c r="D521" s="1"/>
      <c r="E521" s="1"/>
      <c r="F521" s="3"/>
      <c r="G521" s="1"/>
      <c r="H521" s="1"/>
      <c r="I521" s="3"/>
      <c r="J521" s="1"/>
      <c r="P521" s="1"/>
      <c r="Q521" s="2"/>
      <c r="R521" s="1"/>
      <c r="S521" s="1"/>
      <c r="T521" s="3"/>
      <c r="U521" s="3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75" customHeight="1" x14ac:dyDescent="0.25">
      <c r="A522" s="1"/>
      <c r="B522" s="1"/>
      <c r="C522" s="1"/>
      <c r="D522" s="1"/>
      <c r="E522" s="1"/>
      <c r="F522" s="3"/>
      <c r="G522" s="1"/>
      <c r="H522" s="1"/>
      <c r="I522" s="3"/>
      <c r="J522" s="1"/>
      <c r="P522" s="1"/>
      <c r="Q522" s="2"/>
      <c r="R522" s="1"/>
      <c r="S522" s="1"/>
      <c r="T522" s="3"/>
      <c r="U522" s="3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75" customHeight="1" x14ac:dyDescent="0.25">
      <c r="A523" s="1"/>
      <c r="B523" s="1"/>
      <c r="C523" s="1"/>
      <c r="D523" s="1"/>
      <c r="E523" s="1"/>
      <c r="F523" s="3"/>
      <c r="G523" s="1"/>
      <c r="H523" s="1"/>
      <c r="I523" s="3"/>
      <c r="J523" s="1"/>
      <c r="P523" s="1"/>
      <c r="Q523" s="2"/>
      <c r="R523" s="1"/>
      <c r="S523" s="1"/>
      <c r="T523" s="3"/>
      <c r="U523" s="3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75" customHeight="1" x14ac:dyDescent="0.25">
      <c r="A524" s="1"/>
      <c r="B524" s="1"/>
      <c r="C524" s="1"/>
      <c r="D524" s="1"/>
      <c r="E524" s="1"/>
      <c r="F524" s="3"/>
      <c r="G524" s="1"/>
      <c r="H524" s="1"/>
      <c r="I524" s="3"/>
      <c r="J524" s="1"/>
      <c r="P524" s="1"/>
      <c r="Q524" s="2"/>
      <c r="R524" s="1"/>
      <c r="S524" s="1"/>
      <c r="T524" s="3"/>
      <c r="U524" s="3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75" customHeight="1" x14ac:dyDescent="0.25">
      <c r="A525" s="1"/>
      <c r="B525" s="1"/>
      <c r="C525" s="1"/>
      <c r="D525" s="1"/>
      <c r="E525" s="1"/>
      <c r="F525" s="3"/>
      <c r="G525" s="1"/>
      <c r="H525" s="1"/>
      <c r="I525" s="3"/>
      <c r="J525" s="1"/>
      <c r="P525" s="1"/>
      <c r="Q525" s="2"/>
      <c r="R525" s="1"/>
      <c r="S525" s="1"/>
      <c r="T525" s="3"/>
      <c r="U525" s="3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75" customHeight="1" x14ac:dyDescent="0.25">
      <c r="A526" s="1"/>
      <c r="B526" s="1"/>
      <c r="C526" s="1"/>
      <c r="D526" s="1"/>
      <c r="E526" s="1"/>
      <c r="F526" s="3"/>
      <c r="G526" s="1"/>
      <c r="H526" s="1"/>
      <c r="I526" s="3"/>
      <c r="J526" s="1"/>
      <c r="P526" s="1"/>
      <c r="Q526" s="2"/>
      <c r="R526" s="1"/>
      <c r="S526" s="1"/>
      <c r="T526" s="3"/>
      <c r="U526" s="3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75" customHeight="1" x14ac:dyDescent="0.25">
      <c r="A527" s="1"/>
      <c r="B527" s="1"/>
      <c r="C527" s="1"/>
      <c r="D527" s="1"/>
      <c r="E527" s="1"/>
      <c r="F527" s="3"/>
      <c r="G527" s="1"/>
      <c r="H527" s="1"/>
      <c r="I527" s="3"/>
      <c r="J527" s="1"/>
      <c r="P527" s="1"/>
      <c r="Q527" s="2"/>
      <c r="R527" s="1"/>
      <c r="S527" s="1"/>
      <c r="T527" s="3"/>
      <c r="U527" s="3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75" customHeight="1" x14ac:dyDescent="0.25">
      <c r="A528" s="1"/>
      <c r="B528" s="1"/>
      <c r="C528" s="1"/>
      <c r="D528" s="1"/>
      <c r="E528" s="1"/>
      <c r="F528" s="3"/>
      <c r="G528" s="1"/>
      <c r="H528" s="1"/>
      <c r="I528" s="3"/>
      <c r="J528" s="1"/>
      <c r="P528" s="1"/>
      <c r="Q528" s="2"/>
      <c r="R528" s="1"/>
      <c r="S528" s="1"/>
      <c r="T528" s="3"/>
      <c r="U528" s="3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75" customHeight="1" x14ac:dyDescent="0.25">
      <c r="A529" s="1"/>
      <c r="B529" s="1"/>
      <c r="C529" s="1"/>
      <c r="D529" s="1"/>
      <c r="E529" s="1"/>
      <c r="F529" s="3"/>
      <c r="G529" s="1"/>
      <c r="H529" s="1"/>
      <c r="I529" s="3"/>
      <c r="J529" s="1"/>
      <c r="P529" s="1"/>
      <c r="Q529" s="2"/>
      <c r="R529" s="1"/>
      <c r="S529" s="1"/>
      <c r="T529" s="3"/>
      <c r="U529" s="3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75" customHeight="1" x14ac:dyDescent="0.25">
      <c r="A530" s="1"/>
      <c r="B530" s="1"/>
      <c r="C530" s="1"/>
      <c r="D530" s="1"/>
      <c r="E530" s="1"/>
      <c r="F530" s="3"/>
      <c r="G530" s="1"/>
      <c r="H530" s="1"/>
      <c r="I530" s="3"/>
      <c r="J530" s="1"/>
      <c r="P530" s="1"/>
      <c r="Q530" s="2"/>
      <c r="R530" s="1"/>
      <c r="S530" s="1"/>
      <c r="T530" s="3"/>
      <c r="U530" s="3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75" customHeight="1" x14ac:dyDescent="0.25">
      <c r="A531" s="1"/>
      <c r="B531" s="1"/>
      <c r="C531" s="1"/>
      <c r="D531" s="1"/>
      <c r="E531" s="1"/>
      <c r="F531" s="3"/>
      <c r="G531" s="1"/>
      <c r="H531" s="1"/>
      <c r="I531" s="3"/>
      <c r="J531" s="1"/>
      <c r="P531" s="1"/>
      <c r="Q531" s="2"/>
      <c r="R531" s="1"/>
      <c r="S531" s="1"/>
      <c r="T531" s="3"/>
      <c r="U531" s="3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75" customHeight="1" x14ac:dyDescent="0.25">
      <c r="A532" s="1"/>
      <c r="B532" s="1"/>
      <c r="C532" s="1"/>
      <c r="D532" s="1"/>
      <c r="E532" s="1"/>
      <c r="F532" s="3"/>
      <c r="G532" s="1"/>
      <c r="H532" s="1"/>
      <c r="I532" s="3"/>
      <c r="J532" s="1"/>
      <c r="P532" s="1"/>
      <c r="Q532" s="2"/>
      <c r="R532" s="1"/>
      <c r="S532" s="1"/>
      <c r="T532" s="3"/>
      <c r="U532" s="3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75" customHeight="1" x14ac:dyDescent="0.25">
      <c r="A533" s="1"/>
      <c r="B533" s="1"/>
      <c r="C533" s="1"/>
      <c r="D533" s="1"/>
      <c r="E533" s="1"/>
      <c r="F533" s="3"/>
      <c r="G533" s="1"/>
      <c r="H533" s="1"/>
      <c r="I533" s="3"/>
      <c r="J533" s="1"/>
      <c r="P533" s="1"/>
      <c r="Q533" s="2"/>
      <c r="R533" s="1"/>
      <c r="S533" s="1"/>
      <c r="T533" s="3"/>
      <c r="U533" s="3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75" customHeight="1" x14ac:dyDescent="0.25">
      <c r="A534" s="1"/>
      <c r="B534" s="1"/>
      <c r="C534" s="1"/>
      <c r="D534" s="1"/>
      <c r="E534" s="1"/>
      <c r="F534" s="3"/>
      <c r="G534" s="1"/>
      <c r="H534" s="1"/>
      <c r="I534" s="3"/>
      <c r="J534" s="1"/>
      <c r="P534" s="1"/>
      <c r="Q534" s="2"/>
      <c r="R534" s="1"/>
      <c r="S534" s="1"/>
      <c r="T534" s="3"/>
      <c r="U534" s="3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75" customHeight="1" x14ac:dyDescent="0.25">
      <c r="A535" s="1"/>
      <c r="B535" s="1"/>
      <c r="C535" s="1"/>
      <c r="D535" s="1"/>
      <c r="E535" s="1"/>
      <c r="F535" s="3"/>
      <c r="G535" s="1"/>
      <c r="H535" s="1"/>
      <c r="I535" s="3"/>
      <c r="J535" s="1"/>
      <c r="P535" s="1"/>
      <c r="Q535" s="2"/>
      <c r="R535" s="1"/>
      <c r="S535" s="1"/>
      <c r="T535" s="3"/>
      <c r="U535" s="3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75" customHeight="1" x14ac:dyDescent="0.25">
      <c r="A536" s="1"/>
      <c r="B536" s="1"/>
      <c r="C536" s="1"/>
      <c r="D536" s="1"/>
      <c r="E536" s="1"/>
      <c r="F536" s="3"/>
      <c r="G536" s="1"/>
      <c r="H536" s="1"/>
      <c r="I536" s="3"/>
      <c r="J536" s="1"/>
      <c r="P536" s="1"/>
      <c r="Q536" s="2"/>
      <c r="R536" s="1"/>
      <c r="S536" s="1"/>
      <c r="T536" s="3"/>
      <c r="U536" s="3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75" customHeight="1" x14ac:dyDescent="0.25">
      <c r="A537" s="1"/>
      <c r="B537" s="1"/>
      <c r="C537" s="1"/>
      <c r="D537" s="1"/>
      <c r="E537" s="1"/>
      <c r="F537" s="3"/>
      <c r="G537" s="1"/>
      <c r="H537" s="1"/>
      <c r="I537" s="3"/>
      <c r="J537" s="1"/>
      <c r="P537" s="1"/>
      <c r="Q537" s="2"/>
      <c r="R537" s="1"/>
      <c r="S537" s="1"/>
      <c r="T537" s="3"/>
      <c r="U537" s="3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75" customHeight="1" x14ac:dyDescent="0.25">
      <c r="A538" s="1"/>
      <c r="B538" s="1"/>
      <c r="C538" s="1"/>
      <c r="D538" s="1"/>
      <c r="E538" s="1"/>
      <c r="F538" s="3"/>
      <c r="G538" s="1"/>
      <c r="H538" s="1"/>
      <c r="I538" s="3"/>
      <c r="J538" s="1"/>
      <c r="P538" s="1"/>
      <c r="Q538" s="2"/>
      <c r="R538" s="1"/>
      <c r="S538" s="1"/>
      <c r="T538" s="3"/>
      <c r="U538" s="3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75" customHeight="1" x14ac:dyDescent="0.25">
      <c r="A539" s="1"/>
      <c r="B539" s="1"/>
      <c r="C539" s="1"/>
      <c r="D539" s="1"/>
      <c r="E539" s="1"/>
      <c r="F539" s="3"/>
      <c r="G539" s="1"/>
      <c r="H539" s="1"/>
      <c r="I539" s="3"/>
      <c r="J539" s="1"/>
      <c r="P539" s="1"/>
      <c r="Q539" s="2"/>
      <c r="R539" s="1"/>
      <c r="S539" s="1"/>
      <c r="T539" s="3"/>
      <c r="U539" s="3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75" customHeight="1" x14ac:dyDescent="0.25">
      <c r="A540" s="1"/>
      <c r="B540" s="1"/>
      <c r="C540" s="1"/>
      <c r="D540" s="1"/>
      <c r="E540" s="1"/>
      <c r="F540" s="3"/>
      <c r="G540" s="1"/>
      <c r="H540" s="1"/>
      <c r="I540" s="3"/>
      <c r="J540" s="1"/>
      <c r="P540" s="1"/>
      <c r="Q540" s="2"/>
      <c r="R540" s="1"/>
      <c r="S540" s="1"/>
      <c r="T540" s="3"/>
      <c r="U540" s="3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75" customHeight="1" x14ac:dyDescent="0.25">
      <c r="A541" s="1"/>
      <c r="B541" s="1"/>
      <c r="C541" s="1"/>
      <c r="D541" s="1"/>
      <c r="E541" s="1"/>
      <c r="F541" s="3"/>
      <c r="G541" s="1"/>
      <c r="H541" s="1"/>
      <c r="I541" s="3"/>
      <c r="J541" s="1"/>
      <c r="P541" s="1"/>
      <c r="Q541" s="2"/>
      <c r="R541" s="1"/>
      <c r="S541" s="1"/>
      <c r="T541" s="3"/>
      <c r="U541" s="3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75" customHeight="1" x14ac:dyDescent="0.25">
      <c r="A542" s="1"/>
      <c r="B542" s="1"/>
      <c r="C542" s="1"/>
      <c r="D542" s="1"/>
      <c r="E542" s="1"/>
      <c r="F542" s="3"/>
      <c r="G542" s="1"/>
      <c r="H542" s="1"/>
      <c r="I542" s="3"/>
      <c r="J542" s="1"/>
      <c r="P542" s="1"/>
      <c r="Q542" s="2"/>
      <c r="R542" s="1"/>
      <c r="S542" s="1"/>
      <c r="T542" s="3"/>
      <c r="U542" s="3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75" customHeight="1" x14ac:dyDescent="0.25">
      <c r="A543" s="1"/>
      <c r="B543" s="1"/>
      <c r="C543" s="1"/>
      <c r="D543" s="1"/>
      <c r="E543" s="1"/>
      <c r="F543" s="3"/>
      <c r="G543" s="1"/>
      <c r="H543" s="1"/>
      <c r="I543" s="3"/>
      <c r="J543" s="1"/>
      <c r="P543" s="1"/>
      <c r="Q543" s="2"/>
      <c r="R543" s="1"/>
      <c r="S543" s="1"/>
      <c r="T543" s="3"/>
      <c r="U543" s="3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75" customHeight="1" x14ac:dyDescent="0.25">
      <c r="A544" s="1"/>
      <c r="B544" s="1"/>
      <c r="C544" s="1"/>
      <c r="D544" s="1"/>
      <c r="E544" s="1"/>
      <c r="F544" s="3"/>
      <c r="G544" s="1"/>
      <c r="H544" s="1"/>
      <c r="I544" s="3"/>
      <c r="J544" s="1"/>
      <c r="P544" s="1"/>
      <c r="Q544" s="2"/>
      <c r="R544" s="1"/>
      <c r="S544" s="1"/>
      <c r="T544" s="3"/>
      <c r="U544" s="3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75" customHeight="1" x14ac:dyDescent="0.25">
      <c r="A545" s="1"/>
      <c r="B545" s="1"/>
      <c r="C545" s="1"/>
      <c r="D545" s="1"/>
      <c r="E545" s="1"/>
      <c r="F545" s="3"/>
      <c r="G545" s="1"/>
      <c r="H545" s="1"/>
      <c r="I545" s="3"/>
      <c r="J545" s="1"/>
      <c r="P545" s="1"/>
      <c r="Q545" s="2"/>
      <c r="R545" s="1"/>
      <c r="S545" s="1"/>
      <c r="T545" s="3"/>
      <c r="U545" s="3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75" customHeight="1" x14ac:dyDescent="0.25">
      <c r="A546" s="1"/>
      <c r="B546" s="1"/>
      <c r="C546" s="1"/>
      <c r="D546" s="1"/>
      <c r="E546" s="1"/>
      <c r="F546" s="3"/>
      <c r="G546" s="1"/>
      <c r="H546" s="1"/>
      <c r="I546" s="3"/>
      <c r="J546" s="1"/>
      <c r="P546" s="1"/>
      <c r="Q546" s="2"/>
      <c r="R546" s="1"/>
      <c r="S546" s="1"/>
      <c r="T546" s="3"/>
      <c r="U546" s="3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75" customHeight="1" x14ac:dyDescent="0.25">
      <c r="A547" s="1"/>
      <c r="B547" s="1"/>
      <c r="C547" s="1"/>
      <c r="D547" s="1"/>
      <c r="E547" s="1"/>
      <c r="F547" s="3"/>
      <c r="G547" s="1"/>
      <c r="H547" s="1"/>
      <c r="I547" s="3"/>
      <c r="J547" s="1"/>
      <c r="P547" s="1"/>
      <c r="Q547" s="2"/>
      <c r="R547" s="1"/>
      <c r="S547" s="1"/>
      <c r="T547" s="3"/>
      <c r="U547" s="3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75" customHeight="1" x14ac:dyDescent="0.25">
      <c r="A548" s="1"/>
      <c r="B548" s="1"/>
      <c r="C548" s="1"/>
      <c r="D548" s="1"/>
      <c r="E548" s="1"/>
      <c r="F548" s="3"/>
      <c r="G548" s="1"/>
      <c r="H548" s="1"/>
      <c r="I548" s="3"/>
      <c r="J548" s="1"/>
      <c r="P548" s="1"/>
      <c r="Q548" s="2"/>
      <c r="R548" s="1"/>
      <c r="S548" s="1"/>
      <c r="T548" s="3"/>
      <c r="U548" s="3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75" customHeight="1" x14ac:dyDescent="0.25">
      <c r="A549" s="1"/>
      <c r="B549" s="1"/>
      <c r="C549" s="1"/>
      <c r="D549" s="1"/>
      <c r="E549" s="1"/>
      <c r="F549" s="3"/>
      <c r="G549" s="1"/>
      <c r="H549" s="1"/>
      <c r="I549" s="3"/>
      <c r="J549" s="1"/>
      <c r="P549" s="1"/>
      <c r="Q549" s="2"/>
      <c r="R549" s="1"/>
      <c r="S549" s="1"/>
      <c r="T549" s="3"/>
      <c r="U549" s="3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75" customHeight="1" x14ac:dyDescent="0.25">
      <c r="A550" s="1"/>
      <c r="B550" s="1"/>
      <c r="C550" s="1"/>
      <c r="D550" s="1"/>
      <c r="E550" s="1"/>
      <c r="F550" s="3"/>
      <c r="G550" s="1"/>
      <c r="H550" s="1"/>
      <c r="I550" s="3"/>
      <c r="J550" s="1"/>
      <c r="P550" s="1"/>
      <c r="Q550" s="2"/>
      <c r="R550" s="1"/>
      <c r="S550" s="1"/>
      <c r="T550" s="3"/>
      <c r="U550" s="3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75" customHeight="1" x14ac:dyDescent="0.25">
      <c r="A551" s="1"/>
      <c r="B551" s="1"/>
      <c r="C551" s="1"/>
      <c r="D551" s="1"/>
      <c r="E551" s="1"/>
      <c r="F551" s="3"/>
      <c r="G551" s="1"/>
      <c r="H551" s="1"/>
      <c r="I551" s="3"/>
      <c r="J551" s="1"/>
      <c r="P551" s="1"/>
      <c r="Q551" s="2"/>
      <c r="R551" s="1"/>
      <c r="S551" s="1"/>
      <c r="T551" s="3"/>
      <c r="U551" s="3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75" customHeight="1" x14ac:dyDescent="0.25">
      <c r="A552" s="1"/>
      <c r="B552" s="1"/>
      <c r="C552" s="1"/>
      <c r="D552" s="1"/>
      <c r="E552" s="1"/>
      <c r="F552" s="3"/>
      <c r="G552" s="1"/>
      <c r="H552" s="1"/>
      <c r="I552" s="3"/>
      <c r="J552" s="1"/>
      <c r="P552" s="1"/>
      <c r="Q552" s="2"/>
      <c r="R552" s="1"/>
      <c r="S552" s="1"/>
      <c r="T552" s="3"/>
      <c r="U552" s="3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75" customHeight="1" x14ac:dyDescent="0.25">
      <c r="A553" s="1"/>
      <c r="B553" s="1"/>
      <c r="C553" s="1"/>
      <c r="D553" s="1"/>
      <c r="E553" s="1"/>
      <c r="F553" s="3"/>
      <c r="G553" s="1"/>
      <c r="H553" s="1"/>
      <c r="I553" s="3"/>
      <c r="J553" s="1"/>
      <c r="P553" s="1"/>
      <c r="Q553" s="2"/>
      <c r="R553" s="1"/>
      <c r="S553" s="1"/>
      <c r="T553" s="3"/>
      <c r="U553" s="3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75" customHeight="1" x14ac:dyDescent="0.25">
      <c r="A554" s="1"/>
      <c r="B554" s="1"/>
      <c r="C554" s="1"/>
      <c r="D554" s="1"/>
      <c r="E554" s="1"/>
      <c r="F554" s="3"/>
      <c r="G554" s="1"/>
      <c r="H554" s="1"/>
      <c r="I554" s="3"/>
      <c r="J554" s="1"/>
      <c r="P554" s="1"/>
      <c r="Q554" s="2"/>
      <c r="R554" s="1"/>
      <c r="S554" s="1"/>
      <c r="T554" s="3"/>
      <c r="U554" s="3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75" customHeight="1" x14ac:dyDescent="0.25">
      <c r="A555" s="1"/>
      <c r="B555" s="1"/>
      <c r="C555" s="1"/>
      <c r="D555" s="1"/>
      <c r="E555" s="1"/>
      <c r="F555" s="3"/>
      <c r="G555" s="1"/>
      <c r="H555" s="1"/>
      <c r="I555" s="3"/>
      <c r="J555" s="1"/>
      <c r="P555" s="1"/>
      <c r="Q555" s="2"/>
      <c r="R555" s="1"/>
      <c r="S555" s="1"/>
      <c r="T555" s="3"/>
      <c r="U555" s="3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75" customHeight="1" x14ac:dyDescent="0.25">
      <c r="A556" s="1"/>
      <c r="B556" s="1"/>
      <c r="C556" s="1"/>
      <c r="D556" s="1"/>
      <c r="E556" s="1"/>
      <c r="F556" s="3"/>
      <c r="G556" s="1"/>
      <c r="H556" s="1"/>
      <c r="I556" s="3"/>
      <c r="J556" s="1"/>
      <c r="P556" s="1"/>
      <c r="Q556" s="2"/>
      <c r="R556" s="1"/>
      <c r="S556" s="1"/>
      <c r="T556" s="3"/>
      <c r="U556" s="3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75" customHeight="1" x14ac:dyDescent="0.25">
      <c r="A557" s="1"/>
      <c r="B557" s="1"/>
      <c r="C557" s="1"/>
      <c r="D557" s="1"/>
      <c r="E557" s="1"/>
      <c r="F557" s="3"/>
      <c r="G557" s="1"/>
      <c r="H557" s="1"/>
      <c r="I557" s="3"/>
      <c r="J557" s="1"/>
      <c r="P557" s="1"/>
      <c r="Q557" s="2"/>
      <c r="R557" s="1"/>
      <c r="S557" s="1"/>
      <c r="T557" s="3"/>
      <c r="U557" s="3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75" customHeight="1" x14ac:dyDescent="0.25">
      <c r="A558" s="1"/>
      <c r="B558" s="1"/>
      <c r="C558" s="1"/>
      <c r="D558" s="1"/>
      <c r="E558" s="1"/>
      <c r="F558" s="3"/>
      <c r="G558" s="1"/>
      <c r="H558" s="1"/>
      <c r="I558" s="3"/>
      <c r="J558" s="1"/>
      <c r="P558" s="1"/>
      <c r="Q558" s="2"/>
      <c r="R558" s="1"/>
      <c r="S558" s="1"/>
      <c r="T558" s="3"/>
      <c r="U558" s="3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75" customHeight="1" x14ac:dyDescent="0.25">
      <c r="A559" s="1"/>
      <c r="B559" s="1"/>
      <c r="C559" s="1"/>
      <c r="D559" s="1"/>
      <c r="E559" s="1"/>
      <c r="F559" s="3"/>
      <c r="G559" s="1"/>
      <c r="H559" s="1"/>
      <c r="I559" s="3"/>
      <c r="J559" s="1"/>
      <c r="P559" s="1"/>
      <c r="Q559" s="2"/>
      <c r="R559" s="1"/>
      <c r="S559" s="1"/>
      <c r="T559" s="3"/>
      <c r="U559" s="3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75" customHeight="1" x14ac:dyDescent="0.25">
      <c r="A560" s="1"/>
      <c r="B560" s="1"/>
      <c r="C560" s="1"/>
      <c r="D560" s="1"/>
      <c r="E560" s="1"/>
      <c r="F560" s="3"/>
      <c r="G560" s="1"/>
      <c r="H560" s="1"/>
      <c r="I560" s="3"/>
      <c r="J560" s="1"/>
      <c r="P560" s="1"/>
      <c r="Q560" s="2"/>
      <c r="R560" s="1"/>
      <c r="S560" s="1"/>
      <c r="T560" s="3"/>
      <c r="U560" s="3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75" customHeight="1" x14ac:dyDescent="0.25">
      <c r="A561" s="1"/>
      <c r="B561" s="1"/>
      <c r="C561" s="1"/>
      <c r="D561" s="1"/>
      <c r="E561" s="1"/>
      <c r="F561" s="3"/>
      <c r="G561" s="1"/>
      <c r="H561" s="1"/>
      <c r="I561" s="3"/>
      <c r="J561" s="1"/>
      <c r="P561" s="1"/>
      <c r="Q561" s="2"/>
      <c r="R561" s="1"/>
      <c r="S561" s="1"/>
      <c r="T561" s="3"/>
      <c r="U561" s="3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75" customHeight="1" x14ac:dyDescent="0.25">
      <c r="A562" s="1"/>
      <c r="B562" s="1"/>
      <c r="C562" s="1"/>
      <c r="D562" s="1"/>
      <c r="E562" s="1"/>
      <c r="F562" s="3"/>
      <c r="G562" s="1"/>
      <c r="H562" s="1"/>
      <c r="I562" s="3"/>
      <c r="J562" s="1"/>
      <c r="P562" s="1"/>
      <c r="Q562" s="2"/>
      <c r="R562" s="1"/>
      <c r="S562" s="1"/>
      <c r="T562" s="3"/>
      <c r="U562" s="3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75" customHeight="1" x14ac:dyDescent="0.25">
      <c r="A563" s="1"/>
      <c r="B563" s="1"/>
      <c r="C563" s="1"/>
      <c r="D563" s="1"/>
      <c r="E563" s="1"/>
      <c r="F563" s="3"/>
      <c r="G563" s="1"/>
      <c r="H563" s="1"/>
      <c r="I563" s="3"/>
      <c r="J563" s="1"/>
      <c r="P563" s="1"/>
      <c r="Q563" s="2"/>
      <c r="R563" s="1"/>
      <c r="S563" s="1"/>
      <c r="T563" s="3"/>
      <c r="U563" s="3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75" customHeight="1" x14ac:dyDescent="0.25">
      <c r="A564" s="1"/>
      <c r="B564" s="1"/>
      <c r="C564" s="1"/>
      <c r="D564" s="1"/>
      <c r="E564" s="1"/>
      <c r="F564" s="3"/>
      <c r="G564" s="1"/>
      <c r="H564" s="1"/>
      <c r="I564" s="3"/>
      <c r="J564" s="1"/>
      <c r="P564" s="1"/>
      <c r="Q564" s="2"/>
      <c r="R564" s="1"/>
      <c r="S564" s="1"/>
      <c r="T564" s="3"/>
      <c r="U564" s="3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75" customHeight="1" x14ac:dyDescent="0.25">
      <c r="A565" s="1"/>
      <c r="B565" s="1"/>
      <c r="C565" s="1"/>
      <c r="D565" s="1"/>
      <c r="E565" s="1"/>
      <c r="F565" s="3"/>
      <c r="G565" s="1"/>
      <c r="H565" s="1"/>
      <c r="I565" s="3"/>
      <c r="J565" s="1"/>
      <c r="P565" s="1"/>
      <c r="Q565" s="2"/>
      <c r="R565" s="1"/>
      <c r="S565" s="1"/>
      <c r="T565" s="3"/>
      <c r="U565" s="3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75" customHeight="1" x14ac:dyDescent="0.25">
      <c r="A566" s="1"/>
      <c r="B566" s="1"/>
      <c r="C566" s="1"/>
      <c r="D566" s="1"/>
      <c r="E566" s="1"/>
      <c r="F566" s="3"/>
      <c r="G566" s="1"/>
      <c r="H566" s="1"/>
      <c r="I566" s="3"/>
      <c r="J566" s="1"/>
      <c r="P566" s="1"/>
      <c r="Q566" s="2"/>
      <c r="R566" s="1"/>
      <c r="S566" s="1"/>
      <c r="T566" s="3"/>
      <c r="U566" s="3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75" customHeight="1" x14ac:dyDescent="0.25">
      <c r="A567" s="1"/>
      <c r="B567" s="1"/>
      <c r="C567" s="1"/>
      <c r="D567" s="1"/>
      <c r="E567" s="1"/>
      <c r="F567" s="3"/>
      <c r="G567" s="1"/>
      <c r="H567" s="1"/>
      <c r="I567" s="3"/>
      <c r="J567" s="1"/>
      <c r="P567" s="1"/>
      <c r="Q567" s="2"/>
      <c r="R567" s="1"/>
      <c r="S567" s="1"/>
      <c r="T567" s="3"/>
      <c r="U567" s="3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75" customHeight="1" x14ac:dyDescent="0.25">
      <c r="A568" s="1"/>
      <c r="B568" s="1"/>
      <c r="C568" s="1"/>
      <c r="D568" s="1"/>
      <c r="E568" s="1"/>
      <c r="F568" s="3"/>
      <c r="G568" s="1"/>
      <c r="H568" s="1"/>
      <c r="I568" s="3"/>
      <c r="J568" s="1"/>
      <c r="P568" s="1"/>
      <c r="Q568" s="2"/>
      <c r="R568" s="1"/>
      <c r="S568" s="1"/>
      <c r="T568" s="3"/>
      <c r="U568" s="3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75" customHeight="1" x14ac:dyDescent="0.25">
      <c r="A569" s="1"/>
      <c r="B569" s="1"/>
      <c r="C569" s="1"/>
      <c r="D569" s="1"/>
      <c r="E569" s="1"/>
      <c r="F569" s="3"/>
      <c r="G569" s="1"/>
      <c r="H569" s="1"/>
      <c r="I569" s="3"/>
      <c r="J569" s="1"/>
      <c r="P569" s="1"/>
      <c r="Q569" s="2"/>
      <c r="R569" s="1"/>
      <c r="S569" s="1"/>
      <c r="T569" s="3"/>
      <c r="U569" s="3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75" customHeight="1" x14ac:dyDescent="0.25">
      <c r="A570" s="1"/>
      <c r="B570" s="1"/>
      <c r="C570" s="1"/>
      <c r="D570" s="1"/>
      <c r="E570" s="1"/>
      <c r="F570" s="3"/>
      <c r="G570" s="1"/>
      <c r="H570" s="1"/>
      <c r="I570" s="3"/>
      <c r="J570" s="1"/>
      <c r="P570" s="1"/>
      <c r="Q570" s="2"/>
      <c r="R570" s="1"/>
      <c r="S570" s="1"/>
      <c r="T570" s="3"/>
      <c r="U570" s="3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75" customHeight="1" x14ac:dyDescent="0.25">
      <c r="A571" s="1"/>
      <c r="B571" s="1"/>
      <c r="C571" s="1"/>
      <c r="D571" s="1"/>
      <c r="E571" s="1"/>
      <c r="F571" s="3"/>
      <c r="G571" s="1"/>
      <c r="H571" s="1"/>
      <c r="I571" s="3"/>
      <c r="J571" s="1"/>
      <c r="P571" s="1"/>
      <c r="Q571" s="2"/>
      <c r="R571" s="1"/>
      <c r="S571" s="1"/>
      <c r="T571" s="3"/>
      <c r="U571" s="3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75" customHeight="1" x14ac:dyDescent="0.25">
      <c r="A572" s="1"/>
      <c r="B572" s="1"/>
      <c r="C572" s="1"/>
      <c r="D572" s="1"/>
      <c r="E572" s="1"/>
      <c r="F572" s="3"/>
      <c r="G572" s="1"/>
      <c r="H572" s="1"/>
      <c r="I572" s="3"/>
      <c r="J572" s="1"/>
      <c r="P572" s="1"/>
      <c r="Q572" s="2"/>
      <c r="R572" s="1"/>
      <c r="S572" s="1"/>
      <c r="T572" s="3"/>
      <c r="U572" s="3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75" customHeight="1" x14ac:dyDescent="0.25">
      <c r="A573" s="1"/>
      <c r="B573" s="1"/>
      <c r="C573" s="1"/>
      <c r="D573" s="1"/>
      <c r="E573" s="1"/>
      <c r="F573" s="3"/>
      <c r="G573" s="1"/>
      <c r="H573" s="1"/>
      <c r="I573" s="3"/>
      <c r="J573" s="1"/>
      <c r="P573" s="1"/>
      <c r="Q573" s="2"/>
      <c r="R573" s="1"/>
      <c r="S573" s="1"/>
      <c r="T573" s="3"/>
      <c r="U573" s="3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75" customHeight="1" x14ac:dyDescent="0.25">
      <c r="A574" s="1"/>
      <c r="B574" s="1"/>
      <c r="C574" s="1"/>
      <c r="D574" s="1"/>
      <c r="E574" s="1"/>
      <c r="F574" s="3"/>
      <c r="G574" s="1"/>
      <c r="H574" s="1"/>
      <c r="I574" s="3"/>
      <c r="J574" s="1"/>
      <c r="P574" s="1"/>
      <c r="Q574" s="2"/>
      <c r="R574" s="1"/>
      <c r="S574" s="1"/>
      <c r="T574" s="3"/>
      <c r="U574" s="3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75" customHeight="1" x14ac:dyDescent="0.25">
      <c r="A575" s="1"/>
      <c r="B575" s="1"/>
      <c r="C575" s="1"/>
      <c r="D575" s="1"/>
      <c r="E575" s="1"/>
      <c r="F575" s="3"/>
      <c r="G575" s="1"/>
      <c r="H575" s="1"/>
      <c r="I575" s="3"/>
      <c r="J575" s="1"/>
      <c r="P575" s="1"/>
      <c r="Q575" s="2"/>
      <c r="R575" s="1"/>
      <c r="S575" s="1"/>
      <c r="T575" s="3"/>
      <c r="U575" s="3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75" customHeight="1" x14ac:dyDescent="0.25">
      <c r="A576" s="1"/>
      <c r="B576" s="1"/>
      <c r="C576" s="1"/>
      <c r="D576" s="1"/>
      <c r="E576" s="1"/>
      <c r="F576" s="3"/>
      <c r="G576" s="1"/>
      <c r="H576" s="1"/>
      <c r="I576" s="3"/>
      <c r="J576" s="1"/>
      <c r="P576" s="1"/>
      <c r="Q576" s="2"/>
      <c r="R576" s="1"/>
      <c r="S576" s="1"/>
      <c r="T576" s="3"/>
      <c r="U576" s="3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75" customHeight="1" x14ac:dyDescent="0.25">
      <c r="A577" s="1"/>
      <c r="B577" s="1"/>
      <c r="C577" s="1"/>
      <c r="D577" s="1"/>
      <c r="E577" s="1"/>
      <c r="F577" s="3"/>
      <c r="G577" s="1"/>
      <c r="H577" s="1"/>
      <c r="I577" s="3"/>
      <c r="J577" s="1"/>
      <c r="P577" s="1"/>
      <c r="Q577" s="2"/>
      <c r="R577" s="1"/>
      <c r="S577" s="1"/>
      <c r="T577" s="3"/>
      <c r="U577" s="3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75" customHeight="1" x14ac:dyDescent="0.25">
      <c r="A578" s="1"/>
      <c r="B578" s="1"/>
      <c r="C578" s="1"/>
      <c r="D578" s="1"/>
      <c r="E578" s="1"/>
      <c r="F578" s="3"/>
      <c r="G578" s="1"/>
      <c r="H578" s="1"/>
      <c r="I578" s="3"/>
      <c r="J578" s="1"/>
      <c r="P578" s="1"/>
      <c r="Q578" s="2"/>
      <c r="R578" s="1"/>
      <c r="S578" s="1"/>
      <c r="T578" s="3"/>
      <c r="U578" s="3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75" customHeight="1" x14ac:dyDescent="0.25">
      <c r="A579" s="1"/>
      <c r="B579" s="1"/>
      <c r="C579" s="1"/>
      <c r="D579" s="1"/>
      <c r="E579" s="1"/>
      <c r="F579" s="3"/>
      <c r="G579" s="1"/>
      <c r="H579" s="1"/>
      <c r="I579" s="3"/>
      <c r="J579" s="1"/>
      <c r="P579" s="1"/>
      <c r="Q579" s="2"/>
      <c r="R579" s="1"/>
      <c r="S579" s="1"/>
      <c r="T579" s="3"/>
      <c r="U579" s="3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75" customHeight="1" x14ac:dyDescent="0.25">
      <c r="A580" s="1"/>
      <c r="B580" s="1"/>
      <c r="C580" s="1"/>
      <c r="D580" s="1"/>
      <c r="E580" s="1"/>
      <c r="F580" s="3"/>
      <c r="G580" s="1"/>
      <c r="H580" s="1"/>
      <c r="I580" s="3"/>
      <c r="J580" s="1"/>
      <c r="P580" s="1"/>
      <c r="Q580" s="2"/>
      <c r="R580" s="1"/>
      <c r="S580" s="1"/>
      <c r="T580" s="3"/>
      <c r="U580" s="3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75" customHeight="1" x14ac:dyDescent="0.25">
      <c r="A581" s="1"/>
      <c r="B581" s="1"/>
      <c r="C581" s="1"/>
      <c r="D581" s="1"/>
      <c r="E581" s="1"/>
      <c r="F581" s="3"/>
      <c r="G581" s="1"/>
      <c r="H581" s="1"/>
      <c r="I581" s="3"/>
      <c r="J581" s="1"/>
      <c r="P581" s="1"/>
      <c r="Q581" s="2"/>
      <c r="R581" s="1"/>
      <c r="S581" s="1"/>
      <c r="T581" s="3"/>
      <c r="U581" s="3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75" customHeight="1" x14ac:dyDescent="0.25">
      <c r="A582" s="1"/>
      <c r="B582" s="1"/>
      <c r="C582" s="1"/>
      <c r="D582" s="1"/>
      <c r="E582" s="1"/>
      <c r="F582" s="3"/>
      <c r="G582" s="1"/>
      <c r="H582" s="1"/>
      <c r="I582" s="3"/>
      <c r="J582" s="1"/>
      <c r="P582" s="1"/>
      <c r="Q582" s="2"/>
      <c r="R582" s="1"/>
      <c r="S582" s="1"/>
      <c r="T582" s="3"/>
      <c r="U582" s="3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75" customHeight="1" x14ac:dyDescent="0.25">
      <c r="A583" s="1"/>
      <c r="B583" s="1"/>
      <c r="C583" s="1"/>
      <c r="D583" s="1"/>
      <c r="E583" s="1"/>
      <c r="F583" s="3"/>
      <c r="G583" s="1"/>
      <c r="H583" s="1"/>
      <c r="I583" s="3"/>
      <c r="J583" s="1"/>
      <c r="P583" s="1"/>
      <c r="Q583" s="2"/>
      <c r="R583" s="1"/>
      <c r="S583" s="1"/>
      <c r="T583" s="3"/>
      <c r="U583" s="3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75" customHeight="1" x14ac:dyDescent="0.25">
      <c r="A584" s="1"/>
      <c r="B584" s="1"/>
      <c r="C584" s="1"/>
      <c r="D584" s="1"/>
      <c r="E584" s="1"/>
      <c r="F584" s="3"/>
      <c r="G584" s="1"/>
      <c r="H584" s="1"/>
      <c r="I584" s="3"/>
      <c r="J584" s="1"/>
      <c r="P584" s="1"/>
      <c r="Q584" s="2"/>
      <c r="R584" s="1"/>
      <c r="S584" s="1"/>
      <c r="T584" s="3"/>
      <c r="U584" s="3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75" customHeight="1" x14ac:dyDescent="0.25">
      <c r="A585" s="1"/>
      <c r="B585" s="1"/>
      <c r="C585" s="1"/>
      <c r="D585" s="1"/>
      <c r="E585" s="1"/>
      <c r="F585" s="3"/>
      <c r="G585" s="1"/>
      <c r="H585" s="1"/>
      <c r="I585" s="3"/>
      <c r="J585" s="1"/>
      <c r="P585" s="1"/>
      <c r="Q585" s="2"/>
      <c r="R585" s="1"/>
      <c r="S585" s="1"/>
      <c r="T585" s="3"/>
      <c r="U585" s="3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75" customHeight="1" x14ac:dyDescent="0.25">
      <c r="A586" s="1"/>
      <c r="B586" s="1"/>
      <c r="C586" s="1"/>
      <c r="D586" s="1"/>
      <c r="E586" s="1"/>
      <c r="F586" s="3"/>
      <c r="G586" s="1"/>
      <c r="H586" s="1"/>
      <c r="I586" s="3"/>
      <c r="J586" s="1"/>
      <c r="P586" s="1"/>
      <c r="Q586" s="2"/>
      <c r="R586" s="1"/>
      <c r="S586" s="1"/>
      <c r="T586" s="3"/>
      <c r="U586" s="3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75" customHeight="1" x14ac:dyDescent="0.25">
      <c r="A587" s="1"/>
      <c r="B587" s="1"/>
      <c r="C587" s="1"/>
      <c r="D587" s="1"/>
      <c r="E587" s="1"/>
      <c r="F587" s="3"/>
      <c r="G587" s="1"/>
      <c r="H587" s="1"/>
      <c r="I587" s="3"/>
      <c r="J587" s="1"/>
      <c r="P587" s="1"/>
      <c r="Q587" s="2"/>
      <c r="R587" s="1"/>
      <c r="S587" s="1"/>
      <c r="T587" s="3"/>
      <c r="U587" s="3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75" customHeight="1" x14ac:dyDescent="0.25">
      <c r="A588" s="1"/>
      <c r="B588" s="1"/>
      <c r="C588" s="1"/>
      <c r="D588" s="1"/>
      <c r="E588" s="1"/>
      <c r="F588" s="3"/>
      <c r="G588" s="1"/>
      <c r="H588" s="1"/>
      <c r="I588" s="3"/>
      <c r="J588" s="1"/>
      <c r="P588" s="1"/>
      <c r="Q588" s="2"/>
      <c r="R588" s="1"/>
      <c r="S588" s="1"/>
      <c r="T588" s="3"/>
      <c r="U588" s="3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75" customHeight="1" x14ac:dyDescent="0.25">
      <c r="A589" s="1"/>
      <c r="B589" s="1"/>
      <c r="C589" s="1"/>
      <c r="D589" s="1"/>
      <c r="E589" s="1"/>
      <c r="F589" s="3"/>
      <c r="G589" s="1"/>
      <c r="H589" s="1"/>
      <c r="I589" s="3"/>
      <c r="J589" s="1"/>
      <c r="P589" s="1"/>
      <c r="Q589" s="2"/>
      <c r="R589" s="1"/>
      <c r="S589" s="1"/>
      <c r="T589" s="3"/>
      <c r="U589" s="3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75" customHeight="1" x14ac:dyDescent="0.25">
      <c r="A590" s="1"/>
      <c r="B590" s="1"/>
      <c r="C590" s="1"/>
      <c r="D590" s="1"/>
      <c r="E590" s="1"/>
      <c r="F590" s="3"/>
      <c r="G590" s="1"/>
      <c r="H590" s="1"/>
      <c r="I590" s="3"/>
      <c r="J590" s="1"/>
      <c r="P590" s="1"/>
      <c r="Q590" s="2"/>
      <c r="R590" s="1"/>
      <c r="S590" s="1"/>
      <c r="T590" s="3"/>
      <c r="U590" s="3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75" customHeight="1" x14ac:dyDescent="0.25">
      <c r="A591" s="1"/>
      <c r="B591" s="1"/>
      <c r="C591" s="1"/>
      <c r="D591" s="1"/>
      <c r="E591" s="1"/>
      <c r="F591" s="3"/>
      <c r="G591" s="1"/>
      <c r="H591" s="1"/>
      <c r="I591" s="3"/>
      <c r="J591" s="1"/>
      <c r="P591" s="1"/>
      <c r="Q591" s="2"/>
      <c r="R591" s="1"/>
      <c r="S591" s="1"/>
      <c r="T591" s="3"/>
      <c r="U591" s="3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75" customHeight="1" x14ac:dyDescent="0.25">
      <c r="A592" s="1"/>
      <c r="B592" s="1"/>
      <c r="C592" s="1"/>
      <c r="D592" s="1"/>
      <c r="E592" s="1"/>
      <c r="F592" s="3"/>
      <c r="G592" s="1"/>
      <c r="H592" s="1"/>
      <c r="I592" s="3"/>
      <c r="J592" s="1"/>
      <c r="P592" s="1"/>
      <c r="Q592" s="2"/>
      <c r="R592" s="1"/>
      <c r="S592" s="1"/>
      <c r="T592" s="3"/>
      <c r="U592" s="3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75" customHeight="1" x14ac:dyDescent="0.25">
      <c r="A593" s="1"/>
      <c r="B593" s="1"/>
      <c r="C593" s="1"/>
      <c r="D593" s="1"/>
      <c r="E593" s="1"/>
      <c r="F593" s="3"/>
      <c r="G593" s="1"/>
      <c r="H593" s="1"/>
      <c r="I593" s="3"/>
      <c r="J593" s="1"/>
      <c r="P593" s="1"/>
      <c r="Q593" s="2"/>
      <c r="R593" s="1"/>
      <c r="S593" s="1"/>
      <c r="T593" s="3"/>
      <c r="U593" s="3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75" customHeight="1" x14ac:dyDescent="0.25">
      <c r="A594" s="1"/>
      <c r="B594" s="1"/>
      <c r="C594" s="1"/>
      <c r="D594" s="1"/>
      <c r="E594" s="1"/>
      <c r="F594" s="3"/>
      <c r="G594" s="1"/>
      <c r="H594" s="1"/>
      <c r="I594" s="3"/>
      <c r="J594" s="1"/>
      <c r="P594" s="1"/>
      <c r="Q594" s="2"/>
      <c r="R594" s="1"/>
      <c r="S594" s="1"/>
      <c r="T594" s="3"/>
      <c r="U594" s="3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75" customHeight="1" x14ac:dyDescent="0.25">
      <c r="A595" s="1"/>
      <c r="B595" s="1"/>
      <c r="C595" s="1"/>
      <c r="D595" s="1"/>
      <c r="E595" s="1"/>
      <c r="F595" s="3"/>
      <c r="G595" s="1"/>
      <c r="H595" s="1"/>
      <c r="I595" s="3"/>
      <c r="J595" s="1"/>
      <c r="P595" s="1"/>
      <c r="Q595" s="2"/>
      <c r="R595" s="1"/>
      <c r="S595" s="1"/>
      <c r="T595" s="3"/>
      <c r="U595" s="3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75" customHeight="1" x14ac:dyDescent="0.25">
      <c r="A596" s="1"/>
      <c r="B596" s="1"/>
      <c r="C596" s="1"/>
      <c r="D596" s="1"/>
      <c r="E596" s="1"/>
      <c r="F596" s="3"/>
      <c r="G596" s="1"/>
      <c r="H596" s="1"/>
      <c r="I596" s="3"/>
      <c r="J596" s="1"/>
      <c r="P596" s="1"/>
      <c r="Q596" s="2"/>
      <c r="R596" s="1"/>
      <c r="S596" s="1"/>
      <c r="T596" s="3"/>
      <c r="U596" s="3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75" customHeight="1" x14ac:dyDescent="0.25">
      <c r="A597" s="1"/>
      <c r="B597" s="1"/>
      <c r="C597" s="1"/>
      <c r="D597" s="1"/>
      <c r="E597" s="1"/>
      <c r="F597" s="3"/>
      <c r="G597" s="1"/>
      <c r="H597" s="1"/>
      <c r="I597" s="3"/>
      <c r="J597" s="1"/>
      <c r="P597" s="1"/>
      <c r="Q597" s="2"/>
      <c r="R597" s="1"/>
      <c r="S597" s="1"/>
      <c r="T597" s="3"/>
      <c r="U597" s="3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75" customHeight="1" x14ac:dyDescent="0.25">
      <c r="A598" s="1"/>
      <c r="B598" s="1"/>
      <c r="C598" s="1"/>
      <c r="D598" s="1"/>
      <c r="E598" s="1"/>
      <c r="F598" s="3"/>
      <c r="G598" s="1"/>
      <c r="H598" s="1"/>
      <c r="I598" s="3"/>
      <c r="J598" s="1"/>
      <c r="P598" s="1"/>
      <c r="Q598" s="2"/>
      <c r="R598" s="1"/>
      <c r="S598" s="1"/>
      <c r="T598" s="3"/>
      <c r="U598" s="3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75" customHeight="1" x14ac:dyDescent="0.25">
      <c r="A599" s="1"/>
      <c r="B599" s="1"/>
      <c r="C599" s="1"/>
      <c r="D599" s="1"/>
      <c r="E599" s="1"/>
      <c r="F599" s="3"/>
      <c r="G599" s="1"/>
      <c r="H599" s="1"/>
      <c r="I599" s="3"/>
      <c r="J599" s="1"/>
      <c r="P599" s="1"/>
      <c r="Q599" s="2"/>
      <c r="R599" s="1"/>
      <c r="S599" s="1"/>
      <c r="T599" s="3"/>
      <c r="U599" s="3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75" customHeight="1" x14ac:dyDescent="0.25">
      <c r="A600" s="1"/>
      <c r="B600" s="1"/>
      <c r="C600" s="1"/>
      <c r="D600" s="1"/>
      <c r="E600" s="1"/>
      <c r="F600" s="3"/>
      <c r="G600" s="1"/>
      <c r="H600" s="1"/>
      <c r="I600" s="3"/>
      <c r="J600" s="1"/>
      <c r="P600" s="1"/>
      <c r="Q600" s="2"/>
      <c r="R600" s="1"/>
      <c r="S600" s="1"/>
      <c r="T600" s="3"/>
      <c r="U600" s="3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75" customHeight="1" x14ac:dyDescent="0.25">
      <c r="A601" s="1"/>
      <c r="B601" s="1"/>
      <c r="C601" s="1"/>
      <c r="D601" s="1"/>
      <c r="E601" s="1"/>
      <c r="F601" s="3"/>
      <c r="G601" s="1"/>
      <c r="H601" s="1"/>
      <c r="I601" s="3"/>
      <c r="J601" s="1"/>
      <c r="P601" s="1"/>
      <c r="Q601" s="2"/>
      <c r="R601" s="1"/>
      <c r="S601" s="1"/>
      <c r="T601" s="3"/>
      <c r="U601" s="3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75" customHeight="1" x14ac:dyDescent="0.25">
      <c r="A602" s="1"/>
      <c r="B602" s="1"/>
      <c r="C602" s="1"/>
      <c r="D602" s="1"/>
      <c r="E602" s="1"/>
      <c r="F602" s="3"/>
      <c r="G602" s="1"/>
      <c r="H602" s="1"/>
      <c r="I602" s="3"/>
      <c r="J602" s="1"/>
      <c r="P602" s="1"/>
      <c r="Q602" s="2"/>
      <c r="R602" s="1"/>
      <c r="S602" s="1"/>
      <c r="T602" s="3"/>
      <c r="U602" s="3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75" customHeight="1" x14ac:dyDescent="0.25">
      <c r="A603" s="1"/>
      <c r="B603" s="1"/>
      <c r="C603" s="1"/>
      <c r="D603" s="1"/>
      <c r="E603" s="1"/>
      <c r="F603" s="3"/>
      <c r="G603" s="1"/>
      <c r="H603" s="1"/>
      <c r="I603" s="3"/>
      <c r="J603" s="1"/>
      <c r="P603" s="1"/>
      <c r="Q603" s="2"/>
      <c r="R603" s="1"/>
      <c r="S603" s="1"/>
      <c r="T603" s="3"/>
      <c r="U603" s="3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75" customHeight="1" x14ac:dyDescent="0.25">
      <c r="A604" s="1"/>
      <c r="B604" s="1"/>
      <c r="C604" s="1"/>
      <c r="D604" s="1"/>
      <c r="E604" s="1"/>
      <c r="F604" s="3"/>
      <c r="G604" s="1"/>
      <c r="H604" s="1"/>
      <c r="I604" s="3"/>
      <c r="J604" s="1"/>
      <c r="P604" s="1"/>
      <c r="Q604" s="2"/>
      <c r="R604" s="1"/>
      <c r="S604" s="1"/>
      <c r="T604" s="3"/>
      <c r="U604" s="3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75" customHeight="1" x14ac:dyDescent="0.25">
      <c r="A605" s="1"/>
      <c r="B605" s="1"/>
      <c r="C605" s="1"/>
      <c r="D605" s="1"/>
      <c r="E605" s="1"/>
      <c r="F605" s="3"/>
      <c r="G605" s="1"/>
      <c r="H605" s="1"/>
      <c r="I605" s="3"/>
      <c r="J605" s="1"/>
      <c r="P605" s="1"/>
      <c r="Q605" s="2"/>
      <c r="R605" s="1"/>
      <c r="S605" s="1"/>
      <c r="T605" s="3"/>
      <c r="U605" s="3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75" customHeight="1" x14ac:dyDescent="0.25">
      <c r="A606" s="1"/>
      <c r="B606" s="1"/>
      <c r="C606" s="1"/>
      <c r="D606" s="1"/>
      <c r="E606" s="1"/>
      <c r="F606" s="3"/>
      <c r="G606" s="1"/>
      <c r="H606" s="1"/>
      <c r="I606" s="3"/>
      <c r="J606" s="1"/>
      <c r="P606" s="1"/>
      <c r="Q606" s="2"/>
      <c r="R606" s="1"/>
      <c r="S606" s="1"/>
      <c r="T606" s="3"/>
      <c r="U606" s="3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75" customHeight="1" x14ac:dyDescent="0.25">
      <c r="A607" s="1"/>
      <c r="B607" s="1"/>
      <c r="C607" s="1"/>
      <c r="D607" s="1"/>
      <c r="E607" s="1"/>
      <c r="F607" s="3"/>
      <c r="G607" s="1"/>
      <c r="H607" s="1"/>
      <c r="I607" s="3"/>
      <c r="J607" s="1"/>
      <c r="P607" s="1"/>
      <c r="Q607" s="2"/>
      <c r="R607" s="1"/>
      <c r="S607" s="1"/>
      <c r="T607" s="3"/>
      <c r="U607" s="3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75" customHeight="1" x14ac:dyDescent="0.25">
      <c r="A608" s="1"/>
      <c r="B608" s="1"/>
      <c r="C608" s="1"/>
      <c r="D608" s="1"/>
      <c r="E608" s="1"/>
      <c r="F608" s="3"/>
      <c r="G608" s="1"/>
      <c r="H608" s="1"/>
      <c r="I608" s="3"/>
      <c r="J608" s="1"/>
      <c r="P608" s="1"/>
      <c r="Q608" s="2"/>
      <c r="R608" s="1"/>
      <c r="S608" s="1"/>
      <c r="T608" s="3"/>
      <c r="U608" s="3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75" customHeight="1" x14ac:dyDescent="0.25">
      <c r="A609" s="1"/>
      <c r="B609" s="1"/>
      <c r="C609" s="1"/>
      <c r="D609" s="1"/>
      <c r="E609" s="1"/>
      <c r="F609" s="3"/>
      <c r="G609" s="1"/>
      <c r="H609" s="1"/>
      <c r="I609" s="3"/>
      <c r="J609" s="1"/>
      <c r="P609" s="1"/>
      <c r="Q609" s="2"/>
      <c r="R609" s="1"/>
      <c r="S609" s="1"/>
      <c r="T609" s="3"/>
      <c r="U609" s="3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75" customHeight="1" x14ac:dyDescent="0.25">
      <c r="A610" s="1"/>
      <c r="B610" s="1"/>
      <c r="C610" s="1"/>
      <c r="D610" s="1"/>
      <c r="E610" s="1"/>
      <c r="F610" s="3"/>
      <c r="G610" s="1"/>
      <c r="H610" s="1"/>
      <c r="I610" s="3"/>
      <c r="J610" s="1"/>
      <c r="P610" s="1"/>
      <c r="Q610" s="2"/>
      <c r="R610" s="1"/>
      <c r="S610" s="1"/>
      <c r="T610" s="3"/>
      <c r="U610" s="3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75" customHeight="1" x14ac:dyDescent="0.25">
      <c r="A611" s="1"/>
      <c r="B611" s="1"/>
      <c r="C611" s="1"/>
      <c r="D611" s="1"/>
      <c r="E611" s="1"/>
      <c r="F611" s="3"/>
      <c r="G611" s="1"/>
      <c r="H611" s="1"/>
      <c r="I611" s="3"/>
      <c r="J611" s="1"/>
      <c r="P611" s="1"/>
      <c r="Q611" s="2"/>
      <c r="R611" s="1"/>
      <c r="S611" s="1"/>
      <c r="T611" s="3"/>
      <c r="U611" s="3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75" customHeight="1" x14ac:dyDescent="0.25">
      <c r="A612" s="1"/>
      <c r="B612" s="1"/>
      <c r="C612" s="1"/>
      <c r="D612" s="1"/>
      <c r="E612" s="1"/>
      <c r="F612" s="3"/>
      <c r="G612" s="1"/>
      <c r="H612" s="1"/>
      <c r="I612" s="3"/>
      <c r="J612" s="1"/>
      <c r="P612" s="1"/>
      <c r="Q612" s="2"/>
      <c r="R612" s="1"/>
      <c r="S612" s="1"/>
      <c r="T612" s="3"/>
      <c r="U612" s="3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75" customHeight="1" x14ac:dyDescent="0.25">
      <c r="A613" s="1"/>
      <c r="B613" s="1"/>
      <c r="C613" s="1"/>
      <c r="D613" s="1"/>
      <c r="E613" s="1"/>
      <c r="F613" s="3"/>
      <c r="G613" s="1"/>
      <c r="H613" s="1"/>
      <c r="I613" s="3"/>
      <c r="J613" s="1"/>
      <c r="P613" s="1"/>
      <c r="Q613" s="2"/>
      <c r="R613" s="1"/>
      <c r="S613" s="1"/>
      <c r="T613" s="3"/>
      <c r="U613" s="3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75" customHeight="1" x14ac:dyDescent="0.25">
      <c r="A614" s="1"/>
      <c r="B614" s="1"/>
      <c r="C614" s="1"/>
      <c r="D614" s="1"/>
      <c r="E614" s="1"/>
      <c r="F614" s="3"/>
      <c r="G614" s="1"/>
      <c r="H614" s="1"/>
      <c r="I614" s="3"/>
      <c r="J614" s="1"/>
      <c r="P614" s="1"/>
      <c r="Q614" s="2"/>
      <c r="R614" s="1"/>
      <c r="S614" s="1"/>
      <c r="T614" s="3"/>
      <c r="U614" s="3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75" customHeight="1" x14ac:dyDescent="0.25">
      <c r="A615" s="1"/>
      <c r="B615" s="1"/>
      <c r="C615" s="1"/>
      <c r="D615" s="1"/>
      <c r="E615" s="1"/>
      <c r="F615" s="3"/>
      <c r="G615" s="1"/>
      <c r="H615" s="1"/>
      <c r="I615" s="3"/>
      <c r="J615" s="1"/>
      <c r="P615" s="1"/>
      <c r="Q615" s="2"/>
      <c r="R615" s="1"/>
      <c r="S615" s="1"/>
      <c r="T615" s="3"/>
      <c r="U615" s="3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75" customHeight="1" x14ac:dyDescent="0.25">
      <c r="A616" s="1"/>
      <c r="B616" s="1"/>
      <c r="C616" s="1"/>
      <c r="D616" s="1"/>
      <c r="E616" s="1"/>
      <c r="F616" s="3"/>
      <c r="G616" s="1"/>
      <c r="H616" s="1"/>
      <c r="I616" s="3"/>
      <c r="J616" s="1"/>
      <c r="P616" s="1"/>
      <c r="Q616" s="2"/>
      <c r="R616" s="1"/>
      <c r="S616" s="1"/>
      <c r="T616" s="3"/>
      <c r="U616" s="3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75" customHeight="1" x14ac:dyDescent="0.25">
      <c r="A617" s="1"/>
      <c r="B617" s="1"/>
      <c r="C617" s="1"/>
      <c r="D617" s="1"/>
      <c r="E617" s="1"/>
      <c r="F617" s="3"/>
      <c r="G617" s="1"/>
      <c r="H617" s="1"/>
      <c r="I617" s="3"/>
      <c r="J617" s="1"/>
      <c r="P617" s="1"/>
      <c r="Q617" s="2"/>
      <c r="R617" s="1"/>
      <c r="S617" s="1"/>
      <c r="T617" s="3"/>
      <c r="U617" s="3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75" customHeight="1" x14ac:dyDescent="0.25">
      <c r="A618" s="1"/>
      <c r="B618" s="1"/>
      <c r="C618" s="1"/>
      <c r="D618" s="1"/>
      <c r="E618" s="1"/>
      <c r="F618" s="3"/>
      <c r="G618" s="1"/>
      <c r="H618" s="1"/>
      <c r="I618" s="3"/>
      <c r="J618" s="1"/>
      <c r="P618" s="1"/>
      <c r="Q618" s="2"/>
      <c r="R618" s="1"/>
      <c r="S618" s="1"/>
      <c r="T618" s="3"/>
      <c r="U618" s="3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75" customHeight="1" x14ac:dyDescent="0.25">
      <c r="A619" s="1"/>
      <c r="B619" s="1"/>
      <c r="C619" s="1"/>
      <c r="D619" s="1"/>
      <c r="E619" s="1"/>
      <c r="F619" s="3"/>
      <c r="G619" s="1"/>
      <c r="H619" s="1"/>
      <c r="I619" s="3"/>
      <c r="J619" s="1"/>
      <c r="P619" s="1"/>
      <c r="Q619" s="2"/>
      <c r="R619" s="1"/>
      <c r="S619" s="1"/>
      <c r="T619" s="3"/>
      <c r="U619" s="3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75" customHeight="1" x14ac:dyDescent="0.25">
      <c r="A620" s="1"/>
      <c r="B620" s="1"/>
      <c r="C620" s="1"/>
      <c r="D620" s="1"/>
      <c r="E620" s="1"/>
      <c r="F620" s="3"/>
      <c r="G620" s="1"/>
      <c r="H620" s="1"/>
      <c r="I620" s="3"/>
      <c r="J620" s="1"/>
      <c r="P620" s="1"/>
      <c r="Q620" s="2"/>
      <c r="R620" s="1"/>
      <c r="S620" s="1"/>
      <c r="T620" s="3"/>
      <c r="U620" s="3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75" customHeight="1" x14ac:dyDescent="0.25">
      <c r="A621" s="1"/>
      <c r="B621" s="1"/>
      <c r="C621" s="1"/>
      <c r="D621" s="1"/>
      <c r="E621" s="1"/>
      <c r="F621" s="3"/>
      <c r="G621" s="1"/>
      <c r="H621" s="1"/>
      <c r="I621" s="3"/>
      <c r="J621" s="1"/>
      <c r="P621" s="1"/>
      <c r="Q621" s="2"/>
      <c r="R621" s="1"/>
      <c r="S621" s="1"/>
      <c r="T621" s="3"/>
      <c r="U621" s="3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75" customHeight="1" x14ac:dyDescent="0.25">
      <c r="A622" s="1"/>
      <c r="B622" s="1"/>
      <c r="C622" s="1"/>
      <c r="D622" s="1"/>
      <c r="E622" s="1"/>
      <c r="F622" s="3"/>
      <c r="G622" s="1"/>
      <c r="H622" s="1"/>
      <c r="I622" s="3"/>
      <c r="J622" s="1"/>
      <c r="P622" s="1"/>
      <c r="Q622" s="2"/>
      <c r="R622" s="1"/>
      <c r="S622" s="1"/>
      <c r="T622" s="3"/>
      <c r="U622" s="3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75" customHeight="1" x14ac:dyDescent="0.25">
      <c r="A623" s="1"/>
      <c r="B623" s="1"/>
      <c r="C623" s="1"/>
      <c r="D623" s="1"/>
      <c r="E623" s="1"/>
      <c r="F623" s="3"/>
      <c r="G623" s="1"/>
      <c r="H623" s="1"/>
      <c r="I623" s="3"/>
      <c r="J623" s="1"/>
      <c r="P623" s="1"/>
      <c r="Q623" s="2"/>
      <c r="R623" s="1"/>
      <c r="S623" s="1"/>
      <c r="T623" s="3"/>
      <c r="U623" s="3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75" customHeight="1" x14ac:dyDescent="0.25">
      <c r="A624" s="1"/>
      <c r="B624" s="1"/>
      <c r="C624" s="1"/>
      <c r="D624" s="1"/>
      <c r="E624" s="1"/>
      <c r="F624" s="3"/>
      <c r="G624" s="1"/>
      <c r="H624" s="1"/>
      <c r="I624" s="3"/>
      <c r="J624" s="1"/>
      <c r="P624" s="1"/>
      <c r="Q624" s="2"/>
      <c r="R624" s="1"/>
      <c r="S624" s="1"/>
      <c r="T624" s="3"/>
      <c r="U624" s="3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75" customHeight="1" x14ac:dyDescent="0.25">
      <c r="A625" s="1"/>
      <c r="B625" s="1"/>
      <c r="C625" s="1"/>
      <c r="D625" s="1"/>
      <c r="E625" s="1"/>
      <c r="F625" s="3"/>
      <c r="G625" s="1"/>
      <c r="H625" s="1"/>
      <c r="I625" s="3"/>
      <c r="J625" s="1"/>
      <c r="P625" s="1"/>
      <c r="Q625" s="2"/>
      <c r="R625" s="1"/>
      <c r="S625" s="1"/>
      <c r="T625" s="3"/>
      <c r="U625" s="3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75" customHeight="1" x14ac:dyDescent="0.25">
      <c r="A626" s="1"/>
      <c r="B626" s="1"/>
      <c r="C626" s="1"/>
      <c r="D626" s="1"/>
      <c r="E626" s="1"/>
      <c r="F626" s="3"/>
      <c r="G626" s="1"/>
      <c r="H626" s="1"/>
      <c r="I626" s="3"/>
      <c r="J626" s="1"/>
      <c r="P626" s="1"/>
      <c r="Q626" s="2"/>
      <c r="R626" s="1"/>
      <c r="S626" s="1"/>
      <c r="T626" s="3"/>
      <c r="U626" s="3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75" customHeight="1" x14ac:dyDescent="0.25">
      <c r="A627" s="1"/>
      <c r="B627" s="1"/>
      <c r="C627" s="1"/>
      <c r="D627" s="1"/>
      <c r="E627" s="1"/>
      <c r="F627" s="3"/>
      <c r="G627" s="1"/>
      <c r="H627" s="1"/>
      <c r="I627" s="3"/>
      <c r="J627" s="1"/>
      <c r="P627" s="1"/>
      <c r="Q627" s="2"/>
      <c r="R627" s="1"/>
      <c r="S627" s="1"/>
      <c r="T627" s="3"/>
      <c r="U627" s="3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75" customHeight="1" x14ac:dyDescent="0.25">
      <c r="A628" s="1"/>
      <c r="B628" s="1"/>
      <c r="C628" s="1"/>
      <c r="D628" s="1"/>
      <c r="E628" s="1"/>
      <c r="F628" s="3"/>
      <c r="G628" s="1"/>
      <c r="H628" s="1"/>
      <c r="I628" s="3"/>
      <c r="J628" s="1"/>
      <c r="P628" s="1"/>
      <c r="Q628" s="2"/>
      <c r="R628" s="1"/>
      <c r="S628" s="1"/>
      <c r="T628" s="3"/>
      <c r="U628" s="3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75" customHeight="1" x14ac:dyDescent="0.25">
      <c r="A629" s="1"/>
      <c r="B629" s="1"/>
      <c r="C629" s="1"/>
      <c r="D629" s="1"/>
      <c r="E629" s="1"/>
      <c r="F629" s="3"/>
      <c r="G629" s="1"/>
      <c r="H629" s="1"/>
      <c r="I629" s="3"/>
      <c r="J629" s="1"/>
      <c r="P629" s="1"/>
      <c r="Q629" s="2"/>
      <c r="R629" s="1"/>
      <c r="S629" s="1"/>
      <c r="T629" s="3"/>
      <c r="U629" s="3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75" customHeight="1" x14ac:dyDescent="0.25">
      <c r="A630" s="1"/>
      <c r="B630" s="1"/>
      <c r="C630" s="1"/>
      <c r="D630" s="1"/>
      <c r="E630" s="1"/>
      <c r="F630" s="3"/>
      <c r="G630" s="1"/>
      <c r="H630" s="1"/>
      <c r="I630" s="3"/>
      <c r="J630" s="1"/>
      <c r="P630" s="1"/>
      <c r="Q630" s="2"/>
      <c r="R630" s="1"/>
      <c r="S630" s="1"/>
      <c r="T630" s="3"/>
      <c r="U630" s="3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75" customHeight="1" x14ac:dyDescent="0.25">
      <c r="A631" s="1"/>
      <c r="B631" s="1"/>
      <c r="C631" s="1"/>
      <c r="D631" s="1"/>
      <c r="E631" s="1"/>
      <c r="F631" s="3"/>
      <c r="G631" s="1"/>
      <c r="H631" s="1"/>
      <c r="I631" s="3"/>
      <c r="J631" s="1"/>
      <c r="P631" s="1"/>
      <c r="Q631" s="2"/>
      <c r="R631" s="1"/>
      <c r="S631" s="1"/>
      <c r="T631" s="3"/>
      <c r="U631" s="3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75" customHeight="1" x14ac:dyDescent="0.25">
      <c r="A632" s="1"/>
      <c r="B632" s="1"/>
      <c r="C632" s="1"/>
      <c r="D632" s="1"/>
      <c r="E632" s="1"/>
      <c r="F632" s="3"/>
      <c r="G632" s="1"/>
      <c r="H632" s="1"/>
      <c r="I632" s="3"/>
      <c r="J632" s="1"/>
      <c r="P632" s="1"/>
      <c r="Q632" s="2"/>
      <c r="R632" s="1"/>
      <c r="S632" s="1"/>
      <c r="T632" s="3"/>
      <c r="U632" s="3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75" customHeight="1" x14ac:dyDescent="0.25">
      <c r="A633" s="1"/>
      <c r="B633" s="1"/>
      <c r="C633" s="1"/>
      <c r="D633" s="1"/>
      <c r="E633" s="1"/>
      <c r="F633" s="3"/>
      <c r="G633" s="1"/>
      <c r="H633" s="1"/>
      <c r="I633" s="3"/>
      <c r="J633" s="1"/>
      <c r="P633" s="1"/>
      <c r="Q633" s="2"/>
      <c r="R633" s="1"/>
      <c r="S633" s="1"/>
      <c r="T633" s="3"/>
      <c r="U633" s="3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75" customHeight="1" x14ac:dyDescent="0.25">
      <c r="A634" s="1"/>
      <c r="B634" s="1"/>
      <c r="C634" s="1"/>
      <c r="D634" s="1"/>
      <c r="E634" s="1"/>
      <c r="F634" s="3"/>
      <c r="G634" s="1"/>
      <c r="H634" s="1"/>
      <c r="I634" s="3"/>
      <c r="J634" s="1"/>
      <c r="P634" s="1"/>
      <c r="Q634" s="2"/>
      <c r="R634" s="1"/>
      <c r="S634" s="1"/>
      <c r="T634" s="3"/>
      <c r="U634" s="3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75" customHeight="1" x14ac:dyDescent="0.25">
      <c r="A635" s="1"/>
      <c r="B635" s="1"/>
      <c r="C635" s="1"/>
      <c r="D635" s="1"/>
      <c r="E635" s="1"/>
      <c r="F635" s="3"/>
      <c r="G635" s="1"/>
      <c r="H635" s="1"/>
      <c r="I635" s="3"/>
      <c r="J635" s="1"/>
      <c r="P635" s="1"/>
      <c r="Q635" s="2"/>
      <c r="R635" s="1"/>
      <c r="S635" s="1"/>
      <c r="T635" s="3"/>
      <c r="U635" s="3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75" customHeight="1" x14ac:dyDescent="0.25">
      <c r="A636" s="1"/>
      <c r="B636" s="1"/>
      <c r="C636" s="1"/>
      <c r="D636" s="1"/>
      <c r="E636" s="1"/>
      <c r="F636" s="3"/>
      <c r="G636" s="1"/>
      <c r="H636" s="1"/>
      <c r="I636" s="3"/>
      <c r="J636" s="1"/>
      <c r="P636" s="1"/>
      <c r="Q636" s="2"/>
      <c r="R636" s="1"/>
      <c r="S636" s="1"/>
      <c r="T636" s="3"/>
      <c r="U636" s="3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75" customHeight="1" x14ac:dyDescent="0.25">
      <c r="A637" s="1"/>
      <c r="B637" s="1"/>
      <c r="C637" s="1"/>
      <c r="D637" s="1"/>
      <c r="E637" s="1"/>
      <c r="F637" s="3"/>
      <c r="G637" s="1"/>
      <c r="H637" s="1"/>
      <c r="I637" s="3"/>
      <c r="J637" s="1"/>
      <c r="P637" s="1"/>
      <c r="Q637" s="2"/>
      <c r="R637" s="1"/>
      <c r="S637" s="1"/>
      <c r="T637" s="3"/>
      <c r="U637" s="3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75" customHeight="1" x14ac:dyDescent="0.25">
      <c r="A638" s="1"/>
      <c r="B638" s="1"/>
      <c r="C638" s="1"/>
      <c r="D638" s="1"/>
      <c r="E638" s="1"/>
      <c r="F638" s="3"/>
      <c r="G638" s="1"/>
      <c r="H638" s="1"/>
      <c r="I638" s="3"/>
      <c r="J638" s="1"/>
      <c r="P638" s="1"/>
      <c r="Q638" s="2"/>
      <c r="R638" s="1"/>
      <c r="S638" s="1"/>
      <c r="T638" s="3"/>
      <c r="U638" s="3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75" customHeight="1" x14ac:dyDescent="0.25">
      <c r="A639" s="1"/>
      <c r="B639" s="1"/>
      <c r="C639" s="1"/>
      <c r="D639" s="1"/>
      <c r="E639" s="1"/>
      <c r="F639" s="3"/>
      <c r="G639" s="1"/>
      <c r="H639" s="1"/>
      <c r="I639" s="3"/>
      <c r="J639" s="1"/>
      <c r="P639" s="1"/>
      <c r="Q639" s="2"/>
      <c r="R639" s="1"/>
      <c r="S639" s="1"/>
      <c r="T639" s="3"/>
      <c r="U639" s="3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75" customHeight="1" x14ac:dyDescent="0.25">
      <c r="A640" s="1"/>
      <c r="B640" s="1"/>
      <c r="C640" s="1"/>
      <c r="D640" s="1"/>
      <c r="E640" s="1"/>
      <c r="F640" s="3"/>
      <c r="G640" s="1"/>
      <c r="H640" s="1"/>
      <c r="I640" s="3"/>
      <c r="J640" s="1"/>
      <c r="P640" s="1"/>
      <c r="Q640" s="2"/>
      <c r="R640" s="1"/>
      <c r="S640" s="1"/>
      <c r="T640" s="3"/>
      <c r="U640" s="3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75" customHeight="1" x14ac:dyDescent="0.25">
      <c r="A641" s="1"/>
      <c r="B641" s="1"/>
      <c r="C641" s="1"/>
      <c r="D641" s="1"/>
      <c r="E641" s="1"/>
      <c r="F641" s="3"/>
      <c r="G641" s="1"/>
      <c r="H641" s="1"/>
      <c r="I641" s="3"/>
      <c r="J641" s="1"/>
      <c r="P641" s="1"/>
      <c r="Q641" s="2"/>
      <c r="R641" s="1"/>
      <c r="S641" s="1"/>
      <c r="T641" s="3"/>
      <c r="U641" s="3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75" customHeight="1" x14ac:dyDescent="0.25">
      <c r="A642" s="1"/>
      <c r="B642" s="1"/>
      <c r="C642" s="1"/>
      <c r="D642" s="1"/>
      <c r="E642" s="1"/>
      <c r="F642" s="3"/>
      <c r="G642" s="1"/>
      <c r="H642" s="1"/>
      <c r="I642" s="3"/>
      <c r="J642" s="1"/>
      <c r="P642" s="1"/>
      <c r="Q642" s="2"/>
      <c r="R642" s="1"/>
      <c r="S642" s="1"/>
      <c r="T642" s="3"/>
      <c r="U642" s="3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75" customHeight="1" x14ac:dyDescent="0.25">
      <c r="A643" s="1"/>
      <c r="B643" s="1"/>
      <c r="C643" s="1"/>
      <c r="D643" s="1"/>
      <c r="E643" s="1"/>
      <c r="F643" s="3"/>
      <c r="G643" s="1"/>
      <c r="H643" s="1"/>
      <c r="I643" s="3"/>
      <c r="J643" s="1"/>
      <c r="P643" s="1"/>
      <c r="Q643" s="2"/>
      <c r="R643" s="1"/>
      <c r="S643" s="1"/>
      <c r="T643" s="3"/>
      <c r="U643" s="3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75" customHeight="1" x14ac:dyDescent="0.25">
      <c r="A644" s="1"/>
      <c r="B644" s="1"/>
      <c r="C644" s="1"/>
      <c r="D644" s="1"/>
      <c r="E644" s="1"/>
      <c r="F644" s="3"/>
      <c r="G644" s="1"/>
      <c r="H644" s="1"/>
      <c r="I644" s="3"/>
      <c r="J644" s="1"/>
      <c r="P644" s="1"/>
      <c r="Q644" s="2"/>
      <c r="R644" s="1"/>
      <c r="S644" s="1"/>
      <c r="T644" s="3"/>
      <c r="U644" s="3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75" customHeight="1" x14ac:dyDescent="0.25">
      <c r="A645" s="1"/>
      <c r="B645" s="1"/>
      <c r="C645" s="1"/>
      <c r="D645" s="1"/>
      <c r="E645" s="1"/>
      <c r="F645" s="3"/>
      <c r="G645" s="1"/>
      <c r="H645" s="1"/>
      <c r="I645" s="3"/>
      <c r="J645" s="1"/>
      <c r="P645" s="1"/>
      <c r="Q645" s="2"/>
      <c r="R645" s="1"/>
      <c r="S645" s="1"/>
      <c r="T645" s="3"/>
      <c r="U645" s="3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75" customHeight="1" x14ac:dyDescent="0.25">
      <c r="A646" s="1"/>
      <c r="B646" s="1"/>
      <c r="C646" s="1"/>
      <c r="D646" s="1"/>
      <c r="E646" s="1"/>
      <c r="F646" s="3"/>
      <c r="G646" s="1"/>
      <c r="H646" s="1"/>
      <c r="I646" s="3"/>
      <c r="J646" s="1"/>
      <c r="P646" s="1"/>
      <c r="Q646" s="2"/>
      <c r="R646" s="1"/>
      <c r="S646" s="1"/>
      <c r="T646" s="3"/>
      <c r="U646" s="3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75" customHeight="1" x14ac:dyDescent="0.25">
      <c r="A647" s="1"/>
      <c r="B647" s="1"/>
      <c r="C647" s="1"/>
      <c r="D647" s="1"/>
      <c r="E647" s="1"/>
      <c r="F647" s="3"/>
      <c r="G647" s="1"/>
      <c r="H647" s="1"/>
      <c r="I647" s="3"/>
      <c r="J647" s="1"/>
      <c r="P647" s="1"/>
      <c r="Q647" s="2"/>
      <c r="R647" s="1"/>
      <c r="S647" s="1"/>
      <c r="T647" s="3"/>
      <c r="U647" s="3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75" customHeight="1" x14ac:dyDescent="0.25">
      <c r="A648" s="1"/>
      <c r="B648" s="1"/>
      <c r="C648" s="1"/>
      <c r="D648" s="1"/>
      <c r="E648" s="1"/>
      <c r="F648" s="3"/>
      <c r="G648" s="1"/>
      <c r="H648" s="1"/>
      <c r="I648" s="3"/>
      <c r="J648" s="1"/>
      <c r="P648" s="1"/>
      <c r="Q648" s="2"/>
      <c r="R648" s="1"/>
      <c r="S648" s="1"/>
      <c r="T648" s="3"/>
      <c r="U648" s="3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75" customHeight="1" x14ac:dyDescent="0.25">
      <c r="A649" s="1"/>
      <c r="B649" s="1"/>
      <c r="C649" s="1"/>
      <c r="D649" s="1"/>
      <c r="E649" s="1"/>
      <c r="F649" s="3"/>
      <c r="G649" s="1"/>
      <c r="H649" s="1"/>
      <c r="I649" s="3"/>
      <c r="J649" s="1"/>
      <c r="P649" s="1"/>
      <c r="Q649" s="2"/>
      <c r="R649" s="1"/>
      <c r="S649" s="1"/>
      <c r="T649" s="3"/>
      <c r="U649" s="3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75" customHeight="1" x14ac:dyDescent="0.25">
      <c r="A650" s="1"/>
      <c r="B650" s="1"/>
      <c r="C650" s="1"/>
      <c r="D650" s="1"/>
      <c r="E650" s="1"/>
      <c r="F650" s="3"/>
      <c r="G650" s="1"/>
      <c r="H650" s="1"/>
      <c r="I650" s="3"/>
      <c r="J650" s="1"/>
      <c r="P650" s="1"/>
      <c r="Q650" s="2"/>
      <c r="R650" s="1"/>
      <c r="S650" s="1"/>
      <c r="T650" s="3"/>
      <c r="U650" s="3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75" customHeight="1" x14ac:dyDescent="0.25">
      <c r="A651" s="1"/>
      <c r="B651" s="1"/>
      <c r="C651" s="1"/>
      <c r="D651" s="1"/>
      <c r="E651" s="1"/>
      <c r="F651" s="3"/>
      <c r="G651" s="1"/>
      <c r="H651" s="1"/>
      <c r="I651" s="3"/>
      <c r="J651" s="1"/>
      <c r="P651" s="1"/>
      <c r="Q651" s="2"/>
      <c r="R651" s="1"/>
      <c r="S651" s="1"/>
      <c r="T651" s="3"/>
      <c r="U651" s="3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75" customHeight="1" x14ac:dyDescent="0.25">
      <c r="A652" s="1"/>
      <c r="B652" s="1"/>
      <c r="C652" s="1"/>
      <c r="D652" s="1"/>
      <c r="E652" s="1"/>
      <c r="F652" s="3"/>
      <c r="G652" s="1"/>
      <c r="H652" s="1"/>
      <c r="I652" s="3"/>
      <c r="J652" s="1"/>
      <c r="P652" s="1"/>
      <c r="Q652" s="2"/>
      <c r="R652" s="1"/>
      <c r="S652" s="1"/>
      <c r="T652" s="3"/>
      <c r="U652" s="3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75" customHeight="1" x14ac:dyDescent="0.25">
      <c r="A653" s="1"/>
      <c r="B653" s="1"/>
      <c r="C653" s="1"/>
      <c r="D653" s="1"/>
      <c r="E653" s="1"/>
      <c r="F653" s="3"/>
      <c r="G653" s="1"/>
      <c r="H653" s="1"/>
      <c r="I653" s="3"/>
      <c r="J653" s="1"/>
      <c r="P653" s="1"/>
      <c r="Q653" s="2"/>
      <c r="R653" s="1"/>
      <c r="S653" s="1"/>
      <c r="T653" s="3"/>
      <c r="U653" s="3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75" customHeight="1" x14ac:dyDescent="0.25">
      <c r="A654" s="1"/>
      <c r="B654" s="1"/>
      <c r="C654" s="1"/>
      <c r="D654" s="1"/>
      <c r="E654" s="1"/>
      <c r="F654" s="3"/>
      <c r="G654" s="1"/>
      <c r="H654" s="1"/>
      <c r="I654" s="3"/>
      <c r="J654" s="1"/>
      <c r="P654" s="1"/>
      <c r="Q654" s="2"/>
      <c r="R654" s="1"/>
      <c r="S654" s="1"/>
      <c r="T654" s="3"/>
      <c r="U654" s="3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75" customHeight="1" x14ac:dyDescent="0.25">
      <c r="A655" s="1"/>
      <c r="B655" s="1"/>
      <c r="C655" s="1"/>
      <c r="D655" s="1"/>
      <c r="E655" s="1"/>
      <c r="F655" s="3"/>
      <c r="G655" s="1"/>
      <c r="H655" s="1"/>
      <c r="I655" s="3"/>
      <c r="J655" s="1"/>
      <c r="P655" s="1"/>
      <c r="Q655" s="2"/>
      <c r="R655" s="1"/>
      <c r="S655" s="1"/>
      <c r="T655" s="3"/>
      <c r="U655" s="3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75" customHeight="1" x14ac:dyDescent="0.25">
      <c r="A656" s="1"/>
      <c r="B656" s="1"/>
      <c r="C656" s="1"/>
      <c r="D656" s="1"/>
      <c r="E656" s="1"/>
      <c r="F656" s="3"/>
      <c r="G656" s="1"/>
      <c r="H656" s="1"/>
      <c r="I656" s="3"/>
      <c r="J656" s="1"/>
      <c r="P656" s="1"/>
      <c r="Q656" s="2"/>
      <c r="R656" s="1"/>
      <c r="S656" s="1"/>
      <c r="T656" s="3"/>
      <c r="U656" s="3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75" customHeight="1" x14ac:dyDescent="0.25">
      <c r="A657" s="1"/>
      <c r="B657" s="1"/>
      <c r="C657" s="1"/>
      <c r="D657" s="1"/>
      <c r="E657" s="1"/>
      <c r="F657" s="3"/>
      <c r="G657" s="1"/>
      <c r="H657" s="1"/>
      <c r="I657" s="3"/>
      <c r="J657" s="1"/>
      <c r="P657" s="1"/>
      <c r="Q657" s="2"/>
      <c r="R657" s="1"/>
      <c r="S657" s="1"/>
      <c r="T657" s="3"/>
      <c r="U657" s="3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75" customHeight="1" x14ac:dyDescent="0.25">
      <c r="A658" s="1"/>
      <c r="B658" s="1"/>
      <c r="C658" s="1"/>
      <c r="D658" s="1"/>
      <c r="E658" s="1"/>
      <c r="F658" s="3"/>
      <c r="G658" s="1"/>
      <c r="H658" s="1"/>
      <c r="I658" s="3"/>
      <c r="J658" s="1"/>
      <c r="P658" s="1"/>
      <c r="Q658" s="2"/>
      <c r="R658" s="1"/>
      <c r="S658" s="1"/>
      <c r="T658" s="3"/>
      <c r="U658" s="3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75" customHeight="1" x14ac:dyDescent="0.25">
      <c r="A659" s="1"/>
      <c r="B659" s="1"/>
      <c r="C659" s="1"/>
      <c r="D659" s="1"/>
      <c r="E659" s="1"/>
      <c r="F659" s="3"/>
      <c r="G659" s="1"/>
      <c r="H659" s="1"/>
      <c r="I659" s="3"/>
      <c r="J659" s="1"/>
      <c r="P659" s="1"/>
      <c r="Q659" s="2"/>
      <c r="R659" s="1"/>
      <c r="S659" s="1"/>
      <c r="T659" s="3"/>
      <c r="U659" s="3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75" customHeight="1" x14ac:dyDescent="0.25">
      <c r="A660" s="1"/>
      <c r="B660" s="1"/>
      <c r="C660" s="1"/>
      <c r="D660" s="1"/>
      <c r="E660" s="1"/>
      <c r="F660" s="3"/>
      <c r="G660" s="1"/>
      <c r="H660" s="1"/>
      <c r="I660" s="3"/>
      <c r="J660" s="1"/>
      <c r="P660" s="1"/>
      <c r="Q660" s="2"/>
      <c r="R660" s="1"/>
      <c r="S660" s="1"/>
      <c r="T660" s="3"/>
      <c r="U660" s="3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75" customHeight="1" x14ac:dyDescent="0.25">
      <c r="A661" s="1"/>
      <c r="B661" s="1"/>
      <c r="C661" s="1"/>
      <c r="D661" s="1"/>
      <c r="E661" s="1"/>
      <c r="F661" s="3"/>
      <c r="G661" s="1"/>
      <c r="H661" s="1"/>
      <c r="I661" s="3"/>
      <c r="J661" s="1"/>
      <c r="P661" s="1"/>
      <c r="Q661" s="2"/>
      <c r="R661" s="1"/>
      <c r="S661" s="1"/>
      <c r="T661" s="3"/>
      <c r="U661" s="3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75" customHeight="1" x14ac:dyDescent="0.25">
      <c r="A662" s="1"/>
      <c r="B662" s="1"/>
      <c r="C662" s="1"/>
      <c r="D662" s="1"/>
      <c r="E662" s="1"/>
      <c r="F662" s="3"/>
      <c r="G662" s="1"/>
      <c r="H662" s="1"/>
      <c r="I662" s="3"/>
      <c r="J662" s="1"/>
      <c r="P662" s="1"/>
      <c r="Q662" s="2"/>
      <c r="R662" s="1"/>
      <c r="S662" s="1"/>
      <c r="T662" s="3"/>
      <c r="U662" s="3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75" customHeight="1" x14ac:dyDescent="0.25">
      <c r="A663" s="1"/>
      <c r="B663" s="1"/>
      <c r="C663" s="1"/>
      <c r="D663" s="1"/>
      <c r="E663" s="1"/>
      <c r="F663" s="3"/>
      <c r="G663" s="1"/>
      <c r="H663" s="1"/>
      <c r="I663" s="3"/>
      <c r="J663" s="1"/>
      <c r="P663" s="1"/>
      <c r="Q663" s="2"/>
      <c r="R663" s="1"/>
      <c r="S663" s="1"/>
      <c r="T663" s="3"/>
      <c r="U663" s="3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75" customHeight="1" x14ac:dyDescent="0.25">
      <c r="A664" s="1"/>
      <c r="B664" s="1"/>
      <c r="C664" s="1"/>
      <c r="D664" s="1"/>
      <c r="E664" s="1"/>
      <c r="F664" s="3"/>
      <c r="G664" s="1"/>
      <c r="H664" s="1"/>
      <c r="I664" s="3"/>
      <c r="J664" s="1"/>
      <c r="P664" s="1"/>
      <c r="Q664" s="2"/>
      <c r="R664" s="1"/>
      <c r="S664" s="1"/>
      <c r="T664" s="3"/>
      <c r="U664" s="3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75" customHeight="1" x14ac:dyDescent="0.25">
      <c r="A665" s="1"/>
      <c r="B665" s="1"/>
      <c r="C665" s="1"/>
      <c r="D665" s="1"/>
      <c r="E665" s="1"/>
      <c r="F665" s="3"/>
      <c r="G665" s="1"/>
      <c r="H665" s="1"/>
      <c r="I665" s="3"/>
      <c r="J665" s="1"/>
      <c r="P665" s="1"/>
      <c r="Q665" s="2"/>
      <c r="R665" s="1"/>
      <c r="S665" s="1"/>
      <c r="T665" s="3"/>
      <c r="U665" s="3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75" customHeight="1" x14ac:dyDescent="0.25">
      <c r="A666" s="1"/>
      <c r="B666" s="1"/>
      <c r="C666" s="1"/>
      <c r="D666" s="1"/>
      <c r="E666" s="1"/>
      <c r="F666" s="3"/>
      <c r="G666" s="1"/>
      <c r="H666" s="1"/>
      <c r="I666" s="3"/>
      <c r="J666" s="1"/>
      <c r="P666" s="1"/>
      <c r="Q666" s="2"/>
      <c r="R666" s="1"/>
      <c r="S666" s="1"/>
      <c r="T666" s="3"/>
      <c r="U666" s="3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75" customHeight="1" x14ac:dyDescent="0.25">
      <c r="A667" s="1"/>
      <c r="B667" s="1"/>
      <c r="C667" s="1"/>
      <c r="D667" s="1"/>
      <c r="E667" s="1"/>
      <c r="F667" s="3"/>
      <c r="G667" s="1"/>
      <c r="H667" s="1"/>
      <c r="I667" s="3"/>
      <c r="J667" s="1"/>
      <c r="P667" s="1"/>
      <c r="Q667" s="2"/>
      <c r="R667" s="1"/>
      <c r="S667" s="1"/>
      <c r="T667" s="3"/>
      <c r="U667" s="3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75" customHeight="1" x14ac:dyDescent="0.25">
      <c r="A668" s="1"/>
      <c r="B668" s="1"/>
      <c r="C668" s="1"/>
      <c r="D668" s="1"/>
      <c r="E668" s="1"/>
      <c r="F668" s="3"/>
      <c r="G668" s="1"/>
      <c r="H668" s="1"/>
      <c r="I668" s="3"/>
      <c r="J668" s="1"/>
      <c r="P668" s="1"/>
      <c r="Q668" s="2"/>
      <c r="R668" s="1"/>
      <c r="S668" s="1"/>
      <c r="T668" s="3"/>
      <c r="U668" s="3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75" customHeight="1" x14ac:dyDescent="0.25">
      <c r="A669" s="1"/>
      <c r="B669" s="1"/>
      <c r="C669" s="1"/>
      <c r="D669" s="1"/>
      <c r="E669" s="1"/>
      <c r="F669" s="3"/>
      <c r="G669" s="1"/>
      <c r="H669" s="1"/>
      <c r="I669" s="3"/>
      <c r="J669" s="1"/>
      <c r="P669" s="1"/>
      <c r="Q669" s="2"/>
      <c r="R669" s="1"/>
      <c r="S669" s="1"/>
      <c r="T669" s="3"/>
      <c r="U669" s="3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75" customHeight="1" x14ac:dyDescent="0.25">
      <c r="A670" s="1"/>
      <c r="B670" s="1"/>
      <c r="C670" s="1"/>
      <c r="D670" s="1"/>
      <c r="E670" s="1"/>
      <c r="F670" s="3"/>
      <c r="G670" s="1"/>
      <c r="H670" s="1"/>
      <c r="I670" s="3"/>
      <c r="J670" s="1"/>
      <c r="P670" s="1"/>
      <c r="Q670" s="2"/>
      <c r="R670" s="1"/>
      <c r="S670" s="1"/>
      <c r="T670" s="3"/>
      <c r="U670" s="3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75" customHeight="1" x14ac:dyDescent="0.25">
      <c r="A671" s="1"/>
      <c r="B671" s="1"/>
      <c r="C671" s="1"/>
      <c r="D671" s="1"/>
      <c r="E671" s="1"/>
      <c r="F671" s="3"/>
      <c r="G671" s="1"/>
      <c r="H671" s="1"/>
      <c r="I671" s="3"/>
      <c r="J671" s="1"/>
      <c r="P671" s="1"/>
      <c r="Q671" s="2"/>
      <c r="R671" s="1"/>
      <c r="S671" s="1"/>
      <c r="T671" s="3"/>
      <c r="U671" s="3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75" customHeight="1" x14ac:dyDescent="0.25">
      <c r="A672" s="1"/>
      <c r="B672" s="1"/>
      <c r="C672" s="1"/>
      <c r="D672" s="1"/>
      <c r="E672" s="1"/>
      <c r="F672" s="3"/>
      <c r="G672" s="1"/>
      <c r="H672" s="1"/>
      <c r="I672" s="3"/>
      <c r="J672" s="1"/>
      <c r="P672" s="1"/>
      <c r="Q672" s="2"/>
      <c r="R672" s="1"/>
      <c r="S672" s="1"/>
      <c r="T672" s="3"/>
      <c r="U672" s="3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75" customHeight="1" x14ac:dyDescent="0.25">
      <c r="A673" s="1"/>
      <c r="B673" s="1"/>
      <c r="C673" s="1"/>
      <c r="D673" s="1"/>
      <c r="E673" s="1"/>
      <c r="F673" s="3"/>
      <c r="G673" s="1"/>
      <c r="H673" s="1"/>
      <c r="I673" s="3"/>
      <c r="J673" s="1"/>
      <c r="P673" s="1"/>
      <c r="Q673" s="2"/>
      <c r="R673" s="1"/>
      <c r="S673" s="1"/>
      <c r="T673" s="3"/>
      <c r="U673" s="3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75" customHeight="1" x14ac:dyDescent="0.25">
      <c r="A674" s="1"/>
      <c r="B674" s="1"/>
      <c r="C674" s="1"/>
      <c r="D674" s="1"/>
      <c r="E674" s="1"/>
      <c r="F674" s="3"/>
      <c r="G674" s="1"/>
      <c r="H674" s="1"/>
      <c r="I674" s="3"/>
      <c r="J674" s="1"/>
      <c r="P674" s="1"/>
      <c r="Q674" s="2"/>
      <c r="R674" s="1"/>
      <c r="S674" s="1"/>
      <c r="T674" s="3"/>
      <c r="U674" s="3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75" customHeight="1" x14ac:dyDescent="0.25">
      <c r="A675" s="1"/>
      <c r="B675" s="1"/>
      <c r="C675" s="1"/>
      <c r="D675" s="1"/>
      <c r="E675" s="1"/>
      <c r="F675" s="3"/>
      <c r="G675" s="1"/>
      <c r="H675" s="1"/>
      <c r="I675" s="3"/>
      <c r="J675" s="1"/>
      <c r="P675" s="1"/>
      <c r="Q675" s="2"/>
      <c r="R675" s="1"/>
      <c r="S675" s="1"/>
      <c r="T675" s="3"/>
      <c r="U675" s="3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75" customHeight="1" x14ac:dyDescent="0.25">
      <c r="A676" s="1"/>
      <c r="B676" s="1"/>
      <c r="C676" s="1"/>
      <c r="D676" s="1"/>
      <c r="E676" s="1"/>
      <c r="F676" s="3"/>
      <c r="G676" s="1"/>
      <c r="H676" s="1"/>
      <c r="I676" s="3"/>
      <c r="J676" s="1"/>
      <c r="P676" s="1"/>
      <c r="Q676" s="2"/>
      <c r="R676" s="1"/>
      <c r="S676" s="1"/>
      <c r="T676" s="3"/>
      <c r="U676" s="3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75" customHeight="1" x14ac:dyDescent="0.25">
      <c r="A677" s="1"/>
      <c r="B677" s="1"/>
      <c r="C677" s="1"/>
      <c r="D677" s="1"/>
      <c r="E677" s="1"/>
      <c r="F677" s="3"/>
      <c r="G677" s="1"/>
      <c r="H677" s="1"/>
      <c r="I677" s="3"/>
      <c r="J677" s="1"/>
      <c r="P677" s="1"/>
      <c r="Q677" s="2"/>
      <c r="R677" s="1"/>
      <c r="S677" s="1"/>
      <c r="T677" s="3"/>
      <c r="U677" s="3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75" customHeight="1" x14ac:dyDescent="0.25">
      <c r="A678" s="1"/>
      <c r="B678" s="1"/>
      <c r="C678" s="1"/>
      <c r="D678" s="1"/>
      <c r="E678" s="1"/>
      <c r="F678" s="3"/>
      <c r="G678" s="1"/>
      <c r="H678" s="1"/>
      <c r="I678" s="3"/>
      <c r="J678" s="1"/>
      <c r="P678" s="1"/>
      <c r="Q678" s="2"/>
      <c r="R678" s="1"/>
      <c r="S678" s="1"/>
      <c r="T678" s="3"/>
      <c r="U678" s="3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75" customHeight="1" x14ac:dyDescent="0.25">
      <c r="A679" s="1"/>
      <c r="B679" s="1"/>
      <c r="C679" s="1"/>
      <c r="D679" s="1"/>
      <c r="E679" s="1"/>
      <c r="F679" s="3"/>
      <c r="G679" s="1"/>
      <c r="H679" s="1"/>
      <c r="I679" s="3"/>
      <c r="J679" s="1"/>
      <c r="P679" s="1"/>
      <c r="Q679" s="2"/>
      <c r="R679" s="1"/>
      <c r="S679" s="1"/>
      <c r="T679" s="3"/>
      <c r="U679" s="3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75" customHeight="1" x14ac:dyDescent="0.25">
      <c r="A680" s="1"/>
      <c r="B680" s="1"/>
      <c r="C680" s="1"/>
      <c r="D680" s="1"/>
      <c r="E680" s="1"/>
      <c r="F680" s="3"/>
      <c r="G680" s="1"/>
      <c r="H680" s="1"/>
      <c r="I680" s="3"/>
      <c r="J680" s="1"/>
      <c r="P680" s="1"/>
      <c r="Q680" s="2"/>
      <c r="R680" s="1"/>
      <c r="S680" s="1"/>
      <c r="T680" s="3"/>
      <c r="U680" s="3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75" customHeight="1" x14ac:dyDescent="0.25">
      <c r="A681" s="1"/>
      <c r="B681" s="1"/>
      <c r="C681" s="1"/>
      <c r="D681" s="1"/>
      <c r="E681" s="1"/>
      <c r="F681" s="3"/>
      <c r="G681" s="1"/>
      <c r="H681" s="1"/>
      <c r="I681" s="3"/>
      <c r="J681" s="1"/>
      <c r="P681" s="1"/>
      <c r="Q681" s="2"/>
      <c r="R681" s="1"/>
      <c r="S681" s="1"/>
      <c r="T681" s="3"/>
      <c r="U681" s="3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75" customHeight="1" x14ac:dyDescent="0.25">
      <c r="A682" s="1"/>
      <c r="B682" s="1"/>
      <c r="C682" s="1"/>
      <c r="D682" s="1"/>
      <c r="E682" s="1"/>
      <c r="F682" s="3"/>
      <c r="G682" s="1"/>
      <c r="H682" s="1"/>
      <c r="I682" s="3"/>
      <c r="J682" s="1"/>
      <c r="P682" s="1"/>
      <c r="Q682" s="2"/>
      <c r="R682" s="1"/>
      <c r="S682" s="1"/>
      <c r="T682" s="3"/>
      <c r="U682" s="3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75" customHeight="1" x14ac:dyDescent="0.25">
      <c r="A683" s="1"/>
      <c r="B683" s="1"/>
      <c r="C683" s="1"/>
      <c r="D683" s="1"/>
      <c r="E683" s="1"/>
      <c r="F683" s="3"/>
      <c r="G683" s="1"/>
      <c r="H683" s="1"/>
      <c r="I683" s="3"/>
      <c r="J683" s="1"/>
      <c r="P683" s="1"/>
      <c r="Q683" s="2"/>
      <c r="R683" s="1"/>
      <c r="S683" s="1"/>
      <c r="T683" s="3"/>
      <c r="U683" s="3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75" customHeight="1" x14ac:dyDescent="0.25">
      <c r="A684" s="1"/>
      <c r="B684" s="1"/>
      <c r="C684" s="1"/>
      <c r="D684" s="1"/>
      <c r="E684" s="1"/>
      <c r="F684" s="3"/>
      <c r="G684" s="1"/>
      <c r="H684" s="1"/>
      <c r="I684" s="3"/>
      <c r="J684" s="1"/>
      <c r="P684" s="1"/>
      <c r="Q684" s="2"/>
      <c r="R684" s="1"/>
      <c r="S684" s="1"/>
      <c r="T684" s="3"/>
      <c r="U684" s="3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75" customHeight="1" x14ac:dyDescent="0.25">
      <c r="A685" s="1"/>
      <c r="B685" s="1"/>
      <c r="C685" s="1"/>
      <c r="D685" s="1"/>
      <c r="E685" s="1"/>
      <c r="F685" s="3"/>
      <c r="G685" s="1"/>
      <c r="H685" s="1"/>
      <c r="I685" s="3"/>
      <c r="J685" s="1"/>
      <c r="P685" s="1"/>
      <c r="Q685" s="2"/>
      <c r="R685" s="1"/>
      <c r="S685" s="1"/>
      <c r="T685" s="3"/>
      <c r="U685" s="3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75" customHeight="1" x14ac:dyDescent="0.25">
      <c r="A686" s="1"/>
      <c r="B686" s="1"/>
      <c r="C686" s="1"/>
      <c r="D686" s="1"/>
      <c r="E686" s="1"/>
      <c r="F686" s="3"/>
      <c r="G686" s="1"/>
      <c r="H686" s="1"/>
      <c r="I686" s="3"/>
      <c r="J686" s="1"/>
      <c r="P686" s="1"/>
      <c r="Q686" s="2"/>
      <c r="R686" s="1"/>
      <c r="S686" s="1"/>
      <c r="T686" s="3"/>
      <c r="U686" s="3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75" customHeight="1" x14ac:dyDescent="0.25">
      <c r="A687" s="1"/>
      <c r="B687" s="1"/>
      <c r="C687" s="1"/>
      <c r="D687" s="1"/>
      <c r="E687" s="1"/>
      <c r="F687" s="3"/>
      <c r="G687" s="1"/>
      <c r="H687" s="1"/>
      <c r="I687" s="3"/>
      <c r="J687" s="1"/>
      <c r="P687" s="1"/>
      <c r="Q687" s="2"/>
      <c r="R687" s="1"/>
      <c r="S687" s="1"/>
      <c r="T687" s="3"/>
      <c r="U687" s="3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75" customHeight="1" x14ac:dyDescent="0.25">
      <c r="A688" s="1"/>
      <c r="B688" s="1"/>
      <c r="C688" s="1"/>
      <c r="D688" s="1"/>
      <c r="E688" s="1"/>
      <c r="F688" s="3"/>
      <c r="G688" s="1"/>
      <c r="H688" s="1"/>
      <c r="I688" s="3"/>
      <c r="J688" s="1"/>
      <c r="P688" s="1"/>
      <c r="Q688" s="2"/>
      <c r="R688" s="1"/>
      <c r="S688" s="1"/>
      <c r="T688" s="3"/>
      <c r="U688" s="3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75" customHeight="1" x14ac:dyDescent="0.25">
      <c r="A689" s="1"/>
      <c r="B689" s="1"/>
      <c r="C689" s="1"/>
      <c r="D689" s="1"/>
      <c r="E689" s="1"/>
      <c r="F689" s="3"/>
      <c r="G689" s="1"/>
      <c r="H689" s="1"/>
      <c r="I689" s="3"/>
      <c r="J689" s="1"/>
      <c r="P689" s="1"/>
      <c r="Q689" s="2"/>
      <c r="R689" s="1"/>
      <c r="S689" s="1"/>
      <c r="T689" s="3"/>
      <c r="U689" s="3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75" customHeight="1" x14ac:dyDescent="0.25">
      <c r="A690" s="1"/>
      <c r="B690" s="1"/>
      <c r="C690" s="1"/>
      <c r="D690" s="1"/>
      <c r="E690" s="1"/>
      <c r="F690" s="3"/>
      <c r="G690" s="1"/>
      <c r="H690" s="1"/>
      <c r="I690" s="3"/>
      <c r="J690" s="1"/>
      <c r="P690" s="1"/>
      <c r="Q690" s="2"/>
      <c r="R690" s="1"/>
      <c r="S690" s="1"/>
      <c r="T690" s="3"/>
      <c r="U690" s="3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75" customHeight="1" x14ac:dyDescent="0.25">
      <c r="A691" s="1"/>
      <c r="B691" s="1"/>
      <c r="C691" s="1"/>
      <c r="D691" s="1"/>
      <c r="E691" s="1"/>
      <c r="F691" s="3"/>
      <c r="G691" s="1"/>
      <c r="H691" s="1"/>
      <c r="I691" s="3"/>
      <c r="J691" s="1"/>
      <c r="P691" s="1"/>
      <c r="Q691" s="2"/>
      <c r="R691" s="1"/>
      <c r="S691" s="1"/>
      <c r="T691" s="3"/>
      <c r="U691" s="3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75" customHeight="1" x14ac:dyDescent="0.25">
      <c r="A692" s="1"/>
      <c r="B692" s="1"/>
      <c r="C692" s="1"/>
      <c r="D692" s="1"/>
      <c r="E692" s="1"/>
      <c r="F692" s="3"/>
      <c r="G692" s="1"/>
      <c r="H692" s="1"/>
      <c r="I692" s="3"/>
      <c r="J692" s="1"/>
      <c r="P692" s="1"/>
      <c r="Q692" s="2"/>
      <c r="R692" s="1"/>
      <c r="S692" s="1"/>
      <c r="T692" s="3"/>
      <c r="U692" s="3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75" customHeight="1" x14ac:dyDescent="0.25">
      <c r="A693" s="1"/>
      <c r="B693" s="1"/>
      <c r="C693" s="1"/>
      <c r="D693" s="1"/>
      <c r="E693" s="1"/>
      <c r="F693" s="3"/>
      <c r="G693" s="1"/>
      <c r="H693" s="1"/>
      <c r="I693" s="3"/>
      <c r="J693" s="1"/>
      <c r="P693" s="1"/>
      <c r="Q693" s="2"/>
      <c r="R693" s="1"/>
      <c r="S693" s="1"/>
      <c r="T693" s="3"/>
      <c r="U693" s="3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75" customHeight="1" x14ac:dyDescent="0.25">
      <c r="A694" s="1"/>
      <c r="B694" s="1"/>
      <c r="C694" s="1"/>
      <c r="D694" s="1"/>
      <c r="E694" s="1"/>
      <c r="F694" s="3"/>
      <c r="G694" s="1"/>
      <c r="H694" s="1"/>
      <c r="I694" s="3"/>
      <c r="J694" s="1"/>
      <c r="P694" s="1"/>
      <c r="Q694" s="2"/>
      <c r="R694" s="1"/>
      <c r="S694" s="1"/>
      <c r="T694" s="3"/>
      <c r="U694" s="3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75" customHeight="1" x14ac:dyDescent="0.25">
      <c r="A695" s="1"/>
      <c r="B695" s="1"/>
      <c r="C695" s="1"/>
      <c r="D695" s="1"/>
      <c r="E695" s="1"/>
      <c r="F695" s="3"/>
      <c r="G695" s="1"/>
      <c r="H695" s="1"/>
      <c r="I695" s="3"/>
      <c r="J695" s="1"/>
      <c r="P695" s="1"/>
      <c r="Q695" s="2"/>
      <c r="R695" s="1"/>
      <c r="S695" s="1"/>
      <c r="T695" s="3"/>
      <c r="U695" s="3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75" customHeight="1" x14ac:dyDescent="0.25">
      <c r="A696" s="1"/>
      <c r="B696" s="1"/>
      <c r="C696" s="1"/>
      <c r="D696" s="1"/>
      <c r="E696" s="1"/>
      <c r="F696" s="3"/>
      <c r="G696" s="1"/>
      <c r="H696" s="1"/>
      <c r="I696" s="3"/>
      <c r="J696" s="1"/>
      <c r="P696" s="1"/>
      <c r="Q696" s="2"/>
      <c r="R696" s="1"/>
      <c r="S696" s="1"/>
      <c r="T696" s="3"/>
      <c r="U696" s="3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75" customHeight="1" x14ac:dyDescent="0.25">
      <c r="A697" s="1"/>
      <c r="B697" s="1"/>
      <c r="C697" s="1"/>
      <c r="D697" s="1"/>
      <c r="E697" s="1"/>
      <c r="F697" s="3"/>
      <c r="G697" s="1"/>
      <c r="H697" s="1"/>
      <c r="I697" s="3"/>
      <c r="J697" s="1"/>
      <c r="P697" s="1"/>
      <c r="Q697" s="2"/>
      <c r="R697" s="1"/>
      <c r="S697" s="1"/>
      <c r="T697" s="3"/>
      <c r="U697" s="3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75" customHeight="1" x14ac:dyDescent="0.25">
      <c r="A698" s="1"/>
      <c r="B698" s="1"/>
      <c r="C698" s="1"/>
      <c r="D698" s="1"/>
      <c r="E698" s="1"/>
      <c r="F698" s="3"/>
      <c r="G698" s="1"/>
      <c r="H698" s="1"/>
      <c r="I698" s="3"/>
      <c r="J698" s="1"/>
      <c r="P698" s="1"/>
      <c r="Q698" s="2"/>
      <c r="R698" s="1"/>
      <c r="S698" s="1"/>
      <c r="T698" s="3"/>
      <c r="U698" s="3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75" customHeight="1" x14ac:dyDescent="0.25">
      <c r="A699" s="1"/>
      <c r="B699" s="1"/>
      <c r="C699" s="1"/>
      <c r="D699" s="1"/>
      <c r="E699" s="1"/>
      <c r="F699" s="3"/>
      <c r="G699" s="1"/>
      <c r="H699" s="1"/>
      <c r="I699" s="3"/>
      <c r="J699" s="1"/>
      <c r="P699" s="1"/>
      <c r="Q699" s="2"/>
      <c r="R699" s="1"/>
      <c r="S699" s="1"/>
      <c r="T699" s="3"/>
      <c r="U699" s="3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75" customHeight="1" x14ac:dyDescent="0.25">
      <c r="A700" s="1"/>
      <c r="B700" s="1"/>
      <c r="C700" s="1"/>
      <c r="D700" s="1"/>
      <c r="E700" s="1"/>
      <c r="F700" s="3"/>
      <c r="G700" s="1"/>
      <c r="H700" s="1"/>
      <c r="I700" s="3"/>
      <c r="J700" s="1"/>
      <c r="P700" s="1"/>
      <c r="Q700" s="2"/>
      <c r="R700" s="1"/>
      <c r="S700" s="1"/>
      <c r="T700" s="3"/>
      <c r="U700" s="3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75" customHeight="1" x14ac:dyDescent="0.25">
      <c r="A701" s="1"/>
      <c r="B701" s="1"/>
      <c r="C701" s="1"/>
      <c r="D701" s="1"/>
      <c r="E701" s="1"/>
      <c r="F701" s="3"/>
      <c r="G701" s="1"/>
      <c r="H701" s="1"/>
      <c r="I701" s="3"/>
      <c r="J701" s="1"/>
      <c r="P701" s="1"/>
      <c r="Q701" s="2"/>
      <c r="R701" s="1"/>
      <c r="S701" s="1"/>
      <c r="T701" s="3"/>
      <c r="U701" s="3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75" customHeight="1" x14ac:dyDescent="0.25">
      <c r="A702" s="1"/>
      <c r="B702" s="1"/>
      <c r="C702" s="1"/>
      <c r="D702" s="1"/>
      <c r="E702" s="1"/>
      <c r="F702" s="3"/>
      <c r="G702" s="1"/>
      <c r="H702" s="1"/>
      <c r="I702" s="3"/>
      <c r="J702" s="1"/>
      <c r="P702" s="1"/>
      <c r="Q702" s="2"/>
      <c r="R702" s="1"/>
      <c r="S702" s="1"/>
      <c r="T702" s="3"/>
      <c r="U702" s="3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75" customHeight="1" x14ac:dyDescent="0.25">
      <c r="A703" s="1"/>
      <c r="B703" s="1"/>
      <c r="C703" s="1"/>
      <c r="D703" s="1"/>
      <c r="E703" s="1"/>
      <c r="F703" s="3"/>
      <c r="G703" s="1"/>
      <c r="H703" s="1"/>
      <c r="I703" s="3"/>
      <c r="J703" s="1"/>
      <c r="P703" s="1"/>
      <c r="Q703" s="2"/>
      <c r="R703" s="1"/>
      <c r="S703" s="1"/>
      <c r="T703" s="3"/>
      <c r="U703" s="3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75" customHeight="1" x14ac:dyDescent="0.25">
      <c r="A704" s="1"/>
      <c r="B704" s="1"/>
      <c r="C704" s="1"/>
      <c r="D704" s="1"/>
      <c r="E704" s="1"/>
      <c r="F704" s="3"/>
      <c r="G704" s="1"/>
      <c r="H704" s="1"/>
      <c r="I704" s="3"/>
      <c r="J704" s="1"/>
      <c r="P704" s="1"/>
      <c r="Q704" s="2"/>
      <c r="R704" s="1"/>
      <c r="S704" s="1"/>
      <c r="T704" s="3"/>
      <c r="U704" s="3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75" customHeight="1" x14ac:dyDescent="0.25">
      <c r="A705" s="1"/>
      <c r="B705" s="1"/>
      <c r="C705" s="1"/>
      <c r="D705" s="1"/>
      <c r="E705" s="1"/>
      <c r="F705" s="3"/>
      <c r="G705" s="1"/>
      <c r="H705" s="1"/>
      <c r="I705" s="3"/>
      <c r="J705" s="1"/>
      <c r="P705" s="1"/>
      <c r="Q705" s="2"/>
      <c r="R705" s="1"/>
      <c r="S705" s="1"/>
      <c r="T705" s="3"/>
      <c r="U705" s="3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75" customHeight="1" x14ac:dyDescent="0.25">
      <c r="A706" s="1"/>
      <c r="B706" s="1"/>
      <c r="C706" s="1"/>
      <c r="D706" s="1"/>
      <c r="E706" s="1"/>
      <c r="F706" s="3"/>
      <c r="G706" s="1"/>
      <c r="H706" s="1"/>
      <c r="I706" s="3"/>
      <c r="J706" s="1"/>
      <c r="P706" s="1"/>
      <c r="Q706" s="2"/>
      <c r="R706" s="1"/>
      <c r="S706" s="1"/>
      <c r="T706" s="3"/>
      <c r="U706" s="3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75" customHeight="1" x14ac:dyDescent="0.25">
      <c r="A707" s="1"/>
      <c r="B707" s="1"/>
      <c r="C707" s="1"/>
      <c r="D707" s="1"/>
      <c r="E707" s="1"/>
      <c r="F707" s="3"/>
      <c r="G707" s="1"/>
      <c r="H707" s="1"/>
      <c r="I707" s="3"/>
      <c r="J707" s="1"/>
      <c r="P707" s="1"/>
      <c r="Q707" s="2"/>
      <c r="R707" s="1"/>
      <c r="S707" s="1"/>
      <c r="T707" s="3"/>
      <c r="U707" s="3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75" customHeight="1" x14ac:dyDescent="0.25">
      <c r="A708" s="1"/>
      <c r="B708" s="1"/>
      <c r="C708" s="1"/>
      <c r="D708" s="1"/>
      <c r="E708" s="1"/>
      <c r="F708" s="3"/>
      <c r="G708" s="1"/>
      <c r="H708" s="1"/>
      <c r="I708" s="3"/>
      <c r="J708" s="1"/>
      <c r="P708" s="1"/>
      <c r="Q708" s="2"/>
      <c r="R708" s="1"/>
      <c r="S708" s="1"/>
      <c r="T708" s="3"/>
      <c r="U708" s="3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75" customHeight="1" x14ac:dyDescent="0.25">
      <c r="A709" s="1"/>
      <c r="B709" s="1"/>
      <c r="C709" s="1"/>
      <c r="D709" s="1"/>
      <c r="E709" s="1"/>
      <c r="F709" s="3"/>
      <c r="G709" s="1"/>
      <c r="H709" s="1"/>
      <c r="I709" s="3"/>
      <c r="J709" s="1"/>
      <c r="P709" s="1"/>
      <c r="Q709" s="2"/>
      <c r="R709" s="1"/>
      <c r="S709" s="1"/>
      <c r="T709" s="3"/>
      <c r="U709" s="3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75" customHeight="1" x14ac:dyDescent="0.25">
      <c r="A710" s="1"/>
      <c r="B710" s="1"/>
      <c r="C710" s="1"/>
      <c r="D710" s="1"/>
      <c r="E710" s="1"/>
      <c r="F710" s="3"/>
      <c r="G710" s="1"/>
      <c r="H710" s="1"/>
      <c r="I710" s="3"/>
      <c r="J710" s="1"/>
      <c r="P710" s="1"/>
      <c r="Q710" s="2"/>
      <c r="R710" s="1"/>
      <c r="S710" s="1"/>
      <c r="T710" s="3"/>
      <c r="U710" s="3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75" customHeight="1" x14ac:dyDescent="0.25">
      <c r="A711" s="1"/>
      <c r="B711" s="1"/>
      <c r="C711" s="1"/>
      <c r="D711" s="1"/>
      <c r="E711" s="1"/>
      <c r="F711" s="3"/>
      <c r="G711" s="1"/>
      <c r="H711" s="1"/>
      <c r="I711" s="3"/>
      <c r="J711" s="1"/>
      <c r="P711" s="1"/>
      <c r="Q711" s="2"/>
      <c r="R711" s="1"/>
      <c r="S711" s="1"/>
      <c r="T711" s="3"/>
      <c r="U711" s="3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75" customHeight="1" x14ac:dyDescent="0.25">
      <c r="A712" s="1"/>
      <c r="B712" s="1"/>
      <c r="C712" s="1"/>
      <c r="D712" s="1"/>
      <c r="E712" s="1"/>
      <c r="F712" s="3"/>
      <c r="G712" s="1"/>
      <c r="H712" s="1"/>
      <c r="I712" s="3"/>
      <c r="J712" s="1"/>
      <c r="P712" s="1"/>
      <c r="Q712" s="2"/>
      <c r="R712" s="1"/>
      <c r="S712" s="1"/>
      <c r="T712" s="3"/>
      <c r="U712" s="3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75" customHeight="1" x14ac:dyDescent="0.25">
      <c r="A713" s="1"/>
      <c r="B713" s="1"/>
      <c r="C713" s="1"/>
      <c r="D713" s="1"/>
      <c r="E713" s="1"/>
      <c r="F713" s="3"/>
      <c r="G713" s="1"/>
      <c r="H713" s="1"/>
      <c r="I713" s="3"/>
      <c r="J713" s="1"/>
      <c r="P713" s="1"/>
      <c r="Q713" s="2"/>
      <c r="R713" s="1"/>
      <c r="S713" s="1"/>
      <c r="T713" s="3"/>
      <c r="U713" s="3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75" customHeight="1" x14ac:dyDescent="0.25">
      <c r="A714" s="1"/>
      <c r="B714" s="1"/>
      <c r="C714" s="1"/>
      <c r="D714" s="1"/>
      <c r="E714" s="1"/>
      <c r="F714" s="3"/>
      <c r="G714" s="1"/>
      <c r="H714" s="1"/>
      <c r="I714" s="3"/>
      <c r="J714" s="1"/>
      <c r="P714" s="1"/>
      <c r="Q714" s="2"/>
      <c r="R714" s="1"/>
      <c r="S714" s="1"/>
      <c r="T714" s="3"/>
      <c r="U714" s="3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75" customHeight="1" x14ac:dyDescent="0.25">
      <c r="A715" s="1"/>
      <c r="B715" s="1"/>
      <c r="C715" s="1"/>
      <c r="D715" s="1"/>
      <c r="E715" s="1"/>
      <c r="F715" s="3"/>
      <c r="G715" s="1"/>
      <c r="H715" s="1"/>
      <c r="I715" s="3"/>
      <c r="J715" s="1"/>
      <c r="P715" s="1"/>
      <c r="Q715" s="2"/>
      <c r="R715" s="1"/>
      <c r="S715" s="1"/>
      <c r="T715" s="3"/>
      <c r="U715" s="3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75" customHeight="1" x14ac:dyDescent="0.25">
      <c r="A716" s="1"/>
      <c r="B716" s="1"/>
      <c r="C716" s="1"/>
      <c r="D716" s="1"/>
      <c r="E716" s="1"/>
      <c r="F716" s="3"/>
      <c r="G716" s="1"/>
      <c r="H716" s="1"/>
      <c r="I716" s="3"/>
      <c r="J716" s="1"/>
      <c r="P716" s="1"/>
      <c r="Q716" s="2"/>
      <c r="R716" s="1"/>
      <c r="S716" s="1"/>
      <c r="T716" s="3"/>
      <c r="U716" s="3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75" customHeight="1" x14ac:dyDescent="0.25">
      <c r="A717" s="1"/>
      <c r="B717" s="1"/>
      <c r="C717" s="1"/>
      <c r="D717" s="1"/>
      <c r="E717" s="1"/>
      <c r="F717" s="3"/>
      <c r="G717" s="1"/>
      <c r="H717" s="1"/>
      <c r="I717" s="3"/>
      <c r="J717" s="1"/>
      <c r="P717" s="1"/>
      <c r="Q717" s="2"/>
      <c r="R717" s="1"/>
      <c r="S717" s="1"/>
      <c r="T717" s="3"/>
      <c r="U717" s="3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75" customHeight="1" x14ac:dyDescent="0.25">
      <c r="A718" s="1"/>
      <c r="B718" s="1"/>
      <c r="C718" s="1"/>
      <c r="D718" s="1"/>
      <c r="E718" s="1"/>
      <c r="F718" s="3"/>
      <c r="G718" s="1"/>
      <c r="H718" s="1"/>
      <c r="I718" s="3"/>
      <c r="J718" s="1"/>
      <c r="P718" s="1"/>
      <c r="Q718" s="2"/>
      <c r="R718" s="1"/>
      <c r="S718" s="1"/>
      <c r="T718" s="3"/>
      <c r="U718" s="3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75" customHeight="1" x14ac:dyDescent="0.25">
      <c r="A719" s="1"/>
      <c r="B719" s="1"/>
      <c r="C719" s="1"/>
      <c r="D719" s="1"/>
      <c r="E719" s="1"/>
      <c r="F719" s="3"/>
      <c r="G719" s="1"/>
      <c r="H719" s="1"/>
      <c r="I719" s="3"/>
      <c r="J719" s="1"/>
      <c r="P719" s="1"/>
      <c r="Q719" s="2"/>
      <c r="R719" s="1"/>
      <c r="S719" s="1"/>
      <c r="T719" s="3"/>
      <c r="U719" s="3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75" customHeight="1" x14ac:dyDescent="0.25">
      <c r="A720" s="1"/>
      <c r="B720" s="1"/>
      <c r="C720" s="1"/>
      <c r="D720" s="1"/>
      <c r="E720" s="1"/>
      <c r="F720" s="3"/>
      <c r="G720" s="1"/>
      <c r="H720" s="1"/>
      <c r="I720" s="3"/>
      <c r="J720" s="1"/>
      <c r="P720" s="1"/>
      <c r="Q720" s="2"/>
      <c r="R720" s="1"/>
      <c r="S720" s="1"/>
      <c r="T720" s="3"/>
      <c r="U720" s="3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75" customHeight="1" x14ac:dyDescent="0.25">
      <c r="A721" s="1"/>
      <c r="B721" s="1"/>
      <c r="C721" s="1"/>
      <c r="D721" s="1"/>
      <c r="E721" s="1"/>
      <c r="F721" s="3"/>
      <c r="G721" s="1"/>
      <c r="H721" s="1"/>
      <c r="I721" s="3"/>
      <c r="J721" s="1"/>
      <c r="P721" s="1"/>
      <c r="Q721" s="2"/>
      <c r="R721" s="1"/>
      <c r="S721" s="1"/>
      <c r="T721" s="3"/>
      <c r="U721" s="3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75" customHeight="1" x14ac:dyDescent="0.25">
      <c r="A722" s="1"/>
      <c r="B722" s="1"/>
      <c r="C722" s="1"/>
      <c r="D722" s="1"/>
      <c r="E722" s="1"/>
      <c r="F722" s="3"/>
      <c r="G722" s="1"/>
      <c r="H722" s="1"/>
      <c r="I722" s="3"/>
      <c r="J722" s="1"/>
      <c r="P722" s="1"/>
      <c r="Q722" s="2"/>
      <c r="R722" s="1"/>
      <c r="S722" s="1"/>
      <c r="T722" s="3"/>
      <c r="U722" s="3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75" customHeight="1" x14ac:dyDescent="0.25">
      <c r="A723" s="1"/>
      <c r="B723" s="1"/>
      <c r="C723" s="1"/>
      <c r="D723" s="1"/>
      <c r="E723" s="1"/>
      <c r="F723" s="3"/>
      <c r="G723" s="1"/>
      <c r="H723" s="1"/>
      <c r="I723" s="3"/>
      <c r="J723" s="1"/>
      <c r="P723" s="1"/>
      <c r="Q723" s="2"/>
      <c r="R723" s="1"/>
      <c r="S723" s="1"/>
      <c r="T723" s="3"/>
      <c r="U723" s="3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75" customHeight="1" x14ac:dyDescent="0.25">
      <c r="A724" s="1"/>
      <c r="B724" s="1"/>
      <c r="C724" s="1"/>
      <c r="D724" s="1"/>
      <c r="E724" s="1"/>
      <c r="F724" s="3"/>
      <c r="G724" s="1"/>
      <c r="H724" s="1"/>
      <c r="I724" s="3"/>
      <c r="J724" s="1"/>
      <c r="P724" s="1"/>
      <c r="Q724" s="2"/>
      <c r="R724" s="1"/>
      <c r="S724" s="1"/>
      <c r="T724" s="3"/>
      <c r="U724" s="3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75" customHeight="1" x14ac:dyDescent="0.25">
      <c r="A725" s="1"/>
      <c r="B725" s="1"/>
      <c r="C725" s="1"/>
      <c r="D725" s="1"/>
      <c r="E725" s="1"/>
      <c r="F725" s="3"/>
      <c r="G725" s="1"/>
      <c r="H725" s="1"/>
      <c r="I725" s="3"/>
      <c r="J725" s="1"/>
      <c r="P725" s="1"/>
      <c r="Q725" s="2"/>
      <c r="R725" s="1"/>
      <c r="S725" s="1"/>
      <c r="T725" s="3"/>
      <c r="U725" s="3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75" customHeight="1" x14ac:dyDescent="0.25">
      <c r="A726" s="1"/>
      <c r="B726" s="1"/>
      <c r="C726" s="1"/>
      <c r="D726" s="1"/>
      <c r="E726" s="1"/>
      <c r="F726" s="3"/>
      <c r="G726" s="1"/>
      <c r="H726" s="1"/>
      <c r="I726" s="3"/>
      <c r="J726" s="1"/>
      <c r="P726" s="1"/>
      <c r="Q726" s="2"/>
      <c r="R726" s="1"/>
      <c r="S726" s="1"/>
      <c r="T726" s="3"/>
      <c r="U726" s="3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75" customHeight="1" x14ac:dyDescent="0.25">
      <c r="A727" s="1"/>
      <c r="B727" s="1"/>
      <c r="C727" s="1"/>
      <c r="D727" s="1"/>
      <c r="E727" s="1"/>
      <c r="F727" s="3"/>
      <c r="G727" s="1"/>
      <c r="H727" s="1"/>
      <c r="I727" s="3"/>
      <c r="J727" s="1"/>
      <c r="P727" s="1"/>
      <c r="Q727" s="2"/>
      <c r="R727" s="1"/>
      <c r="S727" s="1"/>
      <c r="T727" s="3"/>
      <c r="U727" s="3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75" customHeight="1" x14ac:dyDescent="0.25">
      <c r="A728" s="1"/>
      <c r="B728" s="1"/>
      <c r="C728" s="1"/>
      <c r="D728" s="1"/>
      <c r="E728" s="1"/>
      <c r="F728" s="3"/>
      <c r="G728" s="1"/>
      <c r="H728" s="1"/>
      <c r="I728" s="3"/>
      <c r="J728" s="1"/>
      <c r="P728" s="1"/>
      <c r="Q728" s="2"/>
      <c r="R728" s="1"/>
      <c r="S728" s="1"/>
      <c r="T728" s="3"/>
      <c r="U728" s="3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75" customHeight="1" x14ac:dyDescent="0.25">
      <c r="A729" s="1"/>
      <c r="B729" s="1"/>
      <c r="C729" s="1"/>
      <c r="D729" s="1"/>
      <c r="E729" s="1"/>
      <c r="F729" s="3"/>
      <c r="G729" s="1"/>
      <c r="H729" s="1"/>
      <c r="I729" s="3"/>
      <c r="J729" s="1"/>
      <c r="P729" s="1"/>
      <c r="Q729" s="2"/>
      <c r="R729" s="1"/>
      <c r="S729" s="1"/>
      <c r="T729" s="3"/>
      <c r="U729" s="3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75" customHeight="1" x14ac:dyDescent="0.25">
      <c r="A730" s="1"/>
      <c r="B730" s="1"/>
      <c r="C730" s="1"/>
      <c r="D730" s="1"/>
      <c r="E730" s="1"/>
      <c r="F730" s="3"/>
      <c r="G730" s="1"/>
      <c r="H730" s="1"/>
      <c r="I730" s="3"/>
      <c r="J730" s="1"/>
      <c r="P730" s="1"/>
      <c r="Q730" s="2"/>
      <c r="R730" s="1"/>
      <c r="S730" s="1"/>
      <c r="T730" s="3"/>
      <c r="U730" s="3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75" customHeight="1" x14ac:dyDescent="0.25">
      <c r="A731" s="1"/>
      <c r="B731" s="1"/>
      <c r="C731" s="1"/>
      <c r="D731" s="1"/>
      <c r="E731" s="1"/>
      <c r="F731" s="3"/>
      <c r="G731" s="1"/>
      <c r="H731" s="1"/>
      <c r="I731" s="3"/>
      <c r="J731" s="1"/>
      <c r="P731" s="1"/>
      <c r="Q731" s="2"/>
      <c r="R731" s="1"/>
      <c r="S731" s="1"/>
      <c r="T731" s="3"/>
      <c r="U731" s="3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75" customHeight="1" x14ac:dyDescent="0.25">
      <c r="A732" s="1"/>
      <c r="B732" s="1"/>
      <c r="C732" s="1"/>
      <c r="D732" s="1"/>
      <c r="E732" s="1"/>
      <c r="F732" s="3"/>
      <c r="G732" s="1"/>
      <c r="H732" s="1"/>
      <c r="I732" s="3"/>
      <c r="J732" s="1"/>
      <c r="P732" s="1"/>
      <c r="Q732" s="2"/>
      <c r="R732" s="1"/>
      <c r="S732" s="1"/>
      <c r="T732" s="3"/>
      <c r="U732" s="3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75" customHeight="1" x14ac:dyDescent="0.25">
      <c r="A733" s="1"/>
      <c r="B733" s="1"/>
      <c r="C733" s="1"/>
      <c r="D733" s="1"/>
      <c r="E733" s="1"/>
      <c r="F733" s="3"/>
      <c r="G733" s="1"/>
      <c r="H733" s="1"/>
      <c r="I733" s="3"/>
      <c r="J733" s="1"/>
      <c r="P733" s="1"/>
      <c r="Q733" s="2"/>
      <c r="R733" s="1"/>
      <c r="S733" s="1"/>
      <c r="T733" s="3"/>
      <c r="U733" s="3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75" customHeight="1" x14ac:dyDescent="0.25">
      <c r="A734" s="1"/>
      <c r="B734" s="1"/>
      <c r="C734" s="1"/>
      <c r="D734" s="1"/>
      <c r="E734" s="1"/>
      <c r="F734" s="3"/>
      <c r="G734" s="1"/>
      <c r="H734" s="1"/>
      <c r="I734" s="3"/>
      <c r="J734" s="1"/>
      <c r="P734" s="1"/>
      <c r="Q734" s="2"/>
      <c r="R734" s="1"/>
      <c r="S734" s="1"/>
      <c r="T734" s="3"/>
      <c r="U734" s="3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75" customHeight="1" x14ac:dyDescent="0.25">
      <c r="A735" s="1"/>
      <c r="B735" s="1"/>
      <c r="C735" s="1"/>
      <c r="D735" s="1"/>
      <c r="E735" s="1"/>
      <c r="F735" s="3"/>
      <c r="G735" s="1"/>
      <c r="H735" s="1"/>
      <c r="I735" s="3"/>
      <c r="J735" s="1"/>
      <c r="P735" s="1"/>
      <c r="Q735" s="2"/>
      <c r="R735" s="1"/>
      <c r="S735" s="1"/>
      <c r="T735" s="3"/>
      <c r="U735" s="3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75" customHeight="1" x14ac:dyDescent="0.25">
      <c r="A736" s="1"/>
      <c r="B736" s="1"/>
      <c r="C736" s="1"/>
      <c r="D736" s="1"/>
      <c r="E736" s="1"/>
      <c r="F736" s="3"/>
      <c r="G736" s="1"/>
      <c r="H736" s="1"/>
      <c r="I736" s="3"/>
      <c r="J736" s="1"/>
      <c r="P736" s="1"/>
      <c r="Q736" s="2"/>
      <c r="R736" s="1"/>
      <c r="S736" s="1"/>
      <c r="T736" s="3"/>
      <c r="U736" s="3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75" customHeight="1" x14ac:dyDescent="0.25">
      <c r="A737" s="1"/>
      <c r="B737" s="1"/>
      <c r="C737" s="1"/>
      <c r="D737" s="1"/>
      <c r="E737" s="1"/>
      <c r="F737" s="3"/>
      <c r="G737" s="1"/>
      <c r="H737" s="1"/>
      <c r="I737" s="3"/>
      <c r="J737" s="1"/>
      <c r="P737" s="1"/>
      <c r="Q737" s="2"/>
      <c r="R737" s="1"/>
      <c r="S737" s="1"/>
      <c r="T737" s="3"/>
      <c r="U737" s="3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75" customHeight="1" x14ac:dyDescent="0.25">
      <c r="A738" s="1"/>
      <c r="B738" s="1"/>
      <c r="C738" s="1"/>
      <c r="D738" s="1"/>
      <c r="E738" s="1"/>
      <c r="F738" s="3"/>
      <c r="G738" s="1"/>
      <c r="H738" s="1"/>
      <c r="I738" s="3"/>
      <c r="J738" s="1"/>
      <c r="P738" s="1"/>
      <c r="Q738" s="2"/>
      <c r="R738" s="1"/>
      <c r="S738" s="1"/>
      <c r="T738" s="3"/>
      <c r="U738" s="3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75" customHeight="1" x14ac:dyDescent="0.25">
      <c r="A739" s="1"/>
      <c r="B739" s="1"/>
      <c r="C739" s="1"/>
      <c r="D739" s="1"/>
      <c r="E739" s="1"/>
      <c r="F739" s="3"/>
      <c r="G739" s="1"/>
      <c r="H739" s="1"/>
      <c r="I739" s="3"/>
      <c r="J739" s="1"/>
      <c r="P739" s="1"/>
      <c r="Q739" s="2"/>
      <c r="R739" s="1"/>
      <c r="S739" s="1"/>
      <c r="T739" s="3"/>
      <c r="U739" s="3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75" customHeight="1" x14ac:dyDescent="0.25">
      <c r="A740" s="1"/>
      <c r="B740" s="1"/>
      <c r="C740" s="1"/>
      <c r="D740" s="1"/>
      <c r="E740" s="1"/>
      <c r="F740" s="3"/>
      <c r="G740" s="1"/>
      <c r="H740" s="1"/>
      <c r="I740" s="3"/>
      <c r="J740" s="1"/>
      <c r="P740" s="1"/>
      <c r="Q740" s="2"/>
      <c r="R740" s="1"/>
      <c r="S740" s="1"/>
      <c r="T740" s="3"/>
      <c r="U740" s="3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75" customHeight="1" x14ac:dyDescent="0.25">
      <c r="A741" s="1"/>
      <c r="B741" s="1"/>
      <c r="C741" s="1"/>
      <c r="D741" s="1"/>
      <c r="E741" s="1"/>
      <c r="F741" s="3"/>
      <c r="G741" s="1"/>
      <c r="H741" s="1"/>
      <c r="I741" s="3"/>
      <c r="J741" s="1"/>
      <c r="P741" s="1"/>
      <c r="Q741" s="2"/>
      <c r="R741" s="1"/>
      <c r="S741" s="1"/>
      <c r="T741" s="3"/>
      <c r="U741" s="3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75" customHeight="1" x14ac:dyDescent="0.25">
      <c r="A742" s="1"/>
      <c r="B742" s="1"/>
      <c r="C742" s="1"/>
      <c r="D742" s="1"/>
      <c r="E742" s="1"/>
      <c r="F742" s="3"/>
      <c r="G742" s="1"/>
      <c r="H742" s="1"/>
      <c r="I742" s="3"/>
      <c r="J742" s="1"/>
      <c r="P742" s="1"/>
      <c r="Q742" s="2"/>
      <c r="R742" s="1"/>
      <c r="S742" s="1"/>
      <c r="T742" s="3"/>
      <c r="U742" s="3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75" customHeight="1" x14ac:dyDescent="0.25">
      <c r="A743" s="1"/>
      <c r="B743" s="1"/>
      <c r="C743" s="1"/>
      <c r="D743" s="1"/>
      <c r="E743" s="1"/>
      <c r="F743" s="3"/>
      <c r="G743" s="1"/>
      <c r="H743" s="1"/>
      <c r="I743" s="3"/>
      <c r="J743" s="1"/>
      <c r="P743" s="1"/>
      <c r="Q743" s="2"/>
      <c r="R743" s="1"/>
      <c r="S743" s="1"/>
      <c r="T743" s="3"/>
      <c r="U743" s="3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75" customHeight="1" x14ac:dyDescent="0.25">
      <c r="A744" s="1"/>
      <c r="B744" s="1"/>
      <c r="C744" s="1"/>
      <c r="D744" s="1"/>
      <c r="E744" s="1"/>
      <c r="F744" s="3"/>
      <c r="G744" s="1"/>
      <c r="H744" s="1"/>
      <c r="I744" s="3"/>
      <c r="J744" s="1"/>
      <c r="P744" s="1"/>
      <c r="Q744" s="2"/>
      <c r="R744" s="1"/>
      <c r="S744" s="1"/>
      <c r="T744" s="3"/>
      <c r="U744" s="3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75" customHeight="1" x14ac:dyDescent="0.25">
      <c r="A745" s="1"/>
      <c r="B745" s="1"/>
      <c r="C745" s="1"/>
      <c r="D745" s="1"/>
      <c r="E745" s="1"/>
      <c r="F745" s="3"/>
      <c r="G745" s="1"/>
      <c r="H745" s="1"/>
      <c r="I745" s="3"/>
      <c r="J745" s="1"/>
      <c r="P745" s="1"/>
      <c r="Q745" s="2"/>
      <c r="R745" s="1"/>
      <c r="S745" s="1"/>
      <c r="T745" s="3"/>
      <c r="U745" s="3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75" customHeight="1" x14ac:dyDescent="0.25">
      <c r="A746" s="1"/>
      <c r="B746" s="1"/>
      <c r="C746" s="1"/>
      <c r="D746" s="1"/>
      <c r="E746" s="1"/>
      <c r="F746" s="3"/>
      <c r="G746" s="1"/>
      <c r="H746" s="1"/>
      <c r="I746" s="3"/>
      <c r="J746" s="1"/>
      <c r="P746" s="1"/>
      <c r="Q746" s="2"/>
      <c r="R746" s="1"/>
      <c r="S746" s="1"/>
      <c r="T746" s="3"/>
      <c r="U746" s="3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75" customHeight="1" x14ac:dyDescent="0.25">
      <c r="A747" s="1"/>
      <c r="B747" s="1"/>
      <c r="C747" s="1"/>
      <c r="D747" s="1"/>
      <c r="E747" s="1"/>
      <c r="F747" s="3"/>
      <c r="G747" s="1"/>
      <c r="H747" s="1"/>
      <c r="I747" s="3"/>
      <c r="J747" s="1"/>
      <c r="P747" s="1"/>
      <c r="Q747" s="2"/>
      <c r="R747" s="1"/>
      <c r="S747" s="1"/>
      <c r="T747" s="3"/>
      <c r="U747" s="3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75" customHeight="1" x14ac:dyDescent="0.25">
      <c r="A748" s="1"/>
      <c r="B748" s="1"/>
      <c r="C748" s="1"/>
      <c r="D748" s="1"/>
      <c r="E748" s="1"/>
      <c r="F748" s="3"/>
      <c r="G748" s="1"/>
      <c r="H748" s="1"/>
      <c r="I748" s="3"/>
      <c r="J748" s="1"/>
      <c r="P748" s="1"/>
      <c r="Q748" s="2"/>
      <c r="R748" s="1"/>
      <c r="S748" s="1"/>
      <c r="T748" s="3"/>
      <c r="U748" s="3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75" customHeight="1" x14ac:dyDescent="0.25">
      <c r="A749" s="1"/>
      <c r="B749" s="1"/>
      <c r="C749" s="1"/>
      <c r="D749" s="1"/>
      <c r="E749" s="1"/>
      <c r="F749" s="3"/>
      <c r="G749" s="1"/>
      <c r="H749" s="1"/>
      <c r="I749" s="3"/>
      <c r="J749" s="1"/>
      <c r="P749" s="1"/>
      <c r="Q749" s="2"/>
      <c r="R749" s="1"/>
      <c r="S749" s="1"/>
      <c r="T749" s="3"/>
      <c r="U749" s="3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75" customHeight="1" x14ac:dyDescent="0.25">
      <c r="A750" s="1"/>
      <c r="B750" s="1"/>
      <c r="C750" s="1"/>
      <c r="D750" s="1"/>
      <c r="E750" s="1"/>
      <c r="F750" s="3"/>
      <c r="G750" s="1"/>
      <c r="H750" s="1"/>
      <c r="I750" s="3"/>
      <c r="J750" s="1"/>
      <c r="P750" s="1"/>
      <c r="Q750" s="2"/>
      <c r="R750" s="1"/>
      <c r="S750" s="1"/>
      <c r="T750" s="3"/>
      <c r="U750" s="3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75" customHeight="1" x14ac:dyDescent="0.25">
      <c r="A751" s="1"/>
      <c r="B751" s="1"/>
      <c r="C751" s="1"/>
      <c r="D751" s="1"/>
      <c r="E751" s="1"/>
      <c r="F751" s="3"/>
      <c r="G751" s="1"/>
      <c r="H751" s="1"/>
      <c r="I751" s="3"/>
      <c r="J751" s="1"/>
      <c r="P751" s="1"/>
      <c r="Q751" s="2"/>
      <c r="R751" s="1"/>
      <c r="S751" s="1"/>
      <c r="T751" s="3"/>
      <c r="U751" s="3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75" customHeight="1" x14ac:dyDescent="0.25">
      <c r="A752" s="1"/>
      <c r="B752" s="1"/>
      <c r="C752" s="1"/>
      <c r="D752" s="1"/>
      <c r="E752" s="1"/>
      <c r="F752" s="3"/>
      <c r="G752" s="1"/>
      <c r="H752" s="1"/>
      <c r="I752" s="3"/>
      <c r="J752" s="1"/>
      <c r="P752" s="1"/>
      <c r="Q752" s="2"/>
      <c r="R752" s="1"/>
      <c r="S752" s="1"/>
      <c r="T752" s="3"/>
      <c r="U752" s="3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75" customHeight="1" x14ac:dyDescent="0.25">
      <c r="A753" s="1"/>
      <c r="B753" s="1"/>
      <c r="C753" s="1"/>
      <c r="D753" s="1"/>
      <c r="E753" s="1"/>
      <c r="F753" s="3"/>
      <c r="G753" s="1"/>
      <c r="H753" s="1"/>
      <c r="I753" s="3"/>
      <c r="J753" s="1"/>
      <c r="P753" s="1"/>
      <c r="Q753" s="2"/>
      <c r="R753" s="1"/>
      <c r="S753" s="1"/>
      <c r="T753" s="3"/>
      <c r="U753" s="3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75" customHeight="1" x14ac:dyDescent="0.25">
      <c r="A754" s="1"/>
      <c r="B754" s="1"/>
      <c r="C754" s="1"/>
      <c r="D754" s="1"/>
      <c r="E754" s="1"/>
      <c r="F754" s="3"/>
      <c r="G754" s="1"/>
      <c r="H754" s="1"/>
      <c r="I754" s="3"/>
      <c r="J754" s="1"/>
      <c r="P754" s="1"/>
      <c r="Q754" s="2"/>
      <c r="R754" s="1"/>
      <c r="S754" s="1"/>
      <c r="T754" s="3"/>
      <c r="U754" s="3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75" customHeight="1" x14ac:dyDescent="0.25">
      <c r="A755" s="1"/>
      <c r="B755" s="1"/>
      <c r="C755" s="1"/>
      <c r="D755" s="1"/>
      <c r="E755" s="1"/>
      <c r="F755" s="3"/>
      <c r="G755" s="1"/>
      <c r="H755" s="1"/>
      <c r="I755" s="3"/>
      <c r="J755" s="1"/>
      <c r="P755" s="1"/>
      <c r="Q755" s="2"/>
      <c r="R755" s="1"/>
      <c r="S755" s="1"/>
      <c r="T755" s="3"/>
      <c r="U755" s="3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75" customHeight="1" x14ac:dyDescent="0.25">
      <c r="A756" s="1"/>
      <c r="B756" s="1"/>
      <c r="C756" s="1"/>
      <c r="D756" s="1"/>
      <c r="E756" s="1"/>
      <c r="F756" s="3"/>
      <c r="G756" s="1"/>
      <c r="H756" s="1"/>
      <c r="I756" s="3"/>
      <c r="J756" s="1"/>
      <c r="P756" s="1"/>
      <c r="Q756" s="2"/>
      <c r="R756" s="1"/>
      <c r="S756" s="1"/>
      <c r="T756" s="3"/>
      <c r="U756" s="3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75" customHeight="1" x14ac:dyDescent="0.25">
      <c r="A757" s="1"/>
      <c r="B757" s="1"/>
      <c r="C757" s="1"/>
      <c r="D757" s="1"/>
      <c r="E757" s="1"/>
      <c r="F757" s="3"/>
      <c r="G757" s="1"/>
      <c r="H757" s="1"/>
      <c r="I757" s="3"/>
      <c r="J757" s="1"/>
      <c r="P757" s="1"/>
      <c r="Q757" s="2"/>
      <c r="R757" s="1"/>
      <c r="S757" s="1"/>
      <c r="T757" s="3"/>
      <c r="U757" s="3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75" customHeight="1" x14ac:dyDescent="0.25">
      <c r="A758" s="1"/>
      <c r="B758" s="1"/>
      <c r="C758" s="1"/>
      <c r="D758" s="1"/>
      <c r="E758" s="1"/>
      <c r="F758" s="3"/>
      <c r="G758" s="1"/>
      <c r="H758" s="1"/>
      <c r="I758" s="3"/>
      <c r="J758" s="1"/>
      <c r="P758" s="1"/>
      <c r="Q758" s="2"/>
      <c r="R758" s="1"/>
      <c r="S758" s="1"/>
      <c r="T758" s="3"/>
      <c r="U758" s="3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75" customHeight="1" x14ac:dyDescent="0.25">
      <c r="A759" s="1"/>
      <c r="B759" s="1"/>
      <c r="C759" s="1"/>
      <c r="D759" s="1"/>
      <c r="E759" s="1"/>
      <c r="F759" s="3"/>
      <c r="G759" s="1"/>
      <c r="H759" s="1"/>
      <c r="I759" s="3"/>
      <c r="J759" s="1"/>
      <c r="P759" s="1"/>
      <c r="Q759" s="2"/>
      <c r="R759" s="1"/>
      <c r="S759" s="1"/>
      <c r="T759" s="3"/>
      <c r="U759" s="3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75" customHeight="1" x14ac:dyDescent="0.25">
      <c r="A760" s="1"/>
      <c r="B760" s="1"/>
      <c r="C760" s="1"/>
      <c r="D760" s="1"/>
      <c r="E760" s="1"/>
      <c r="F760" s="3"/>
      <c r="G760" s="1"/>
      <c r="H760" s="1"/>
      <c r="I760" s="3"/>
      <c r="J760" s="1"/>
      <c r="P760" s="1"/>
      <c r="Q760" s="2"/>
      <c r="R760" s="1"/>
      <c r="S760" s="1"/>
      <c r="T760" s="3"/>
      <c r="U760" s="3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75" customHeight="1" x14ac:dyDescent="0.25">
      <c r="A761" s="1"/>
      <c r="B761" s="1"/>
      <c r="C761" s="1"/>
      <c r="D761" s="1"/>
      <c r="E761" s="1"/>
      <c r="F761" s="3"/>
      <c r="G761" s="1"/>
      <c r="H761" s="1"/>
      <c r="I761" s="3"/>
      <c r="J761" s="1"/>
      <c r="P761" s="1"/>
      <c r="Q761" s="2"/>
      <c r="R761" s="1"/>
      <c r="S761" s="1"/>
      <c r="T761" s="3"/>
      <c r="U761" s="3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75" customHeight="1" x14ac:dyDescent="0.25">
      <c r="A762" s="1"/>
      <c r="B762" s="1"/>
      <c r="C762" s="1"/>
      <c r="D762" s="1"/>
      <c r="E762" s="1"/>
      <c r="F762" s="3"/>
      <c r="G762" s="1"/>
      <c r="H762" s="1"/>
      <c r="I762" s="3"/>
      <c r="J762" s="1"/>
      <c r="P762" s="1"/>
      <c r="Q762" s="2"/>
      <c r="R762" s="1"/>
      <c r="S762" s="1"/>
      <c r="T762" s="3"/>
      <c r="U762" s="3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75" customHeight="1" x14ac:dyDescent="0.25">
      <c r="A763" s="1"/>
      <c r="B763" s="1"/>
      <c r="C763" s="1"/>
      <c r="D763" s="1"/>
      <c r="E763" s="1"/>
      <c r="F763" s="3"/>
      <c r="G763" s="1"/>
      <c r="H763" s="1"/>
      <c r="I763" s="3"/>
      <c r="J763" s="1"/>
      <c r="P763" s="1"/>
      <c r="Q763" s="2"/>
      <c r="R763" s="1"/>
      <c r="S763" s="1"/>
      <c r="T763" s="3"/>
      <c r="U763" s="3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75" customHeight="1" x14ac:dyDescent="0.25">
      <c r="A764" s="1"/>
      <c r="B764" s="1"/>
      <c r="C764" s="1"/>
      <c r="D764" s="1"/>
      <c r="E764" s="1"/>
      <c r="F764" s="3"/>
      <c r="G764" s="1"/>
      <c r="H764" s="1"/>
      <c r="I764" s="3"/>
      <c r="J764" s="1"/>
      <c r="P764" s="1"/>
      <c r="Q764" s="2"/>
      <c r="R764" s="1"/>
      <c r="S764" s="1"/>
      <c r="T764" s="3"/>
      <c r="U764" s="3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75" customHeight="1" x14ac:dyDescent="0.25">
      <c r="A765" s="1"/>
      <c r="B765" s="1"/>
      <c r="C765" s="1"/>
      <c r="D765" s="1"/>
      <c r="E765" s="1"/>
      <c r="F765" s="3"/>
      <c r="G765" s="1"/>
      <c r="H765" s="1"/>
      <c r="I765" s="3"/>
      <c r="J765" s="1"/>
      <c r="P765" s="1"/>
      <c r="Q765" s="2"/>
      <c r="R765" s="1"/>
      <c r="S765" s="1"/>
      <c r="T765" s="3"/>
      <c r="U765" s="3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75" customHeight="1" x14ac:dyDescent="0.25">
      <c r="A766" s="1"/>
      <c r="B766" s="1"/>
      <c r="C766" s="1"/>
      <c r="D766" s="1"/>
      <c r="E766" s="1"/>
      <c r="F766" s="3"/>
      <c r="G766" s="1"/>
      <c r="H766" s="1"/>
      <c r="I766" s="3"/>
      <c r="J766" s="1"/>
      <c r="P766" s="1"/>
      <c r="Q766" s="2"/>
      <c r="R766" s="1"/>
      <c r="S766" s="1"/>
      <c r="T766" s="3"/>
      <c r="U766" s="3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75" customHeight="1" x14ac:dyDescent="0.25">
      <c r="A767" s="1"/>
      <c r="B767" s="1"/>
      <c r="C767" s="1"/>
      <c r="D767" s="1"/>
      <c r="E767" s="1"/>
      <c r="F767" s="3"/>
      <c r="G767" s="1"/>
      <c r="H767" s="1"/>
      <c r="I767" s="3"/>
      <c r="J767" s="1"/>
      <c r="P767" s="1"/>
      <c r="Q767" s="2"/>
      <c r="R767" s="1"/>
      <c r="S767" s="1"/>
      <c r="T767" s="3"/>
      <c r="U767" s="3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75" customHeight="1" x14ac:dyDescent="0.25">
      <c r="A768" s="1"/>
      <c r="B768" s="1"/>
      <c r="C768" s="1"/>
      <c r="D768" s="1"/>
      <c r="E768" s="1"/>
      <c r="F768" s="3"/>
      <c r="G768" s="1"/>
      <c r="H768" s="1"/>
      <c r="I768" s="3"/>
      <c r="J768" s="1"/>
      <c r="P768" s="1"/>
      <c r="Q768" s="2"/>
      <c r="R768" s="1"/>
      <c r="S768" s="1"/>
      <c r="T768" s="3"/>
      <c r="U768" s="3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75" customHeight="1" x14ac:dyDescent="0.25">
      <c r="A769" s="1"/>
      <c r="B769" s="1"/>
      <c r="C769" s="1"/>
      <c r="D769" s="1"/>
      <c r="E769" s="1"/>
      <c r="F769" s="3"/>
      <c r="G769" s="1"/>
      <c r="H769" s="1"/>
      <c r="I769" s="3"/>
      <c r="J769" s="1"/>
      <c r="P769" s="1"/>
      <c r="Q769" s="2"/>
      <c r="R769" s="1"/>
      <c r="S769" s="1"/>
      <c r="T769" s="3"/>
      <c r="U769" s="3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75" customHeight="1" x14ac:dyDescent="0.25">
      <c r="A770" s="1"/>
      <c r="B770" s="1"/>
      <c r="C770" s="1"/>
      <c r="D770" s="1"/>
      <c r="E770" s="1"/>
      <c r="F770" s="3"/>
      <c r="G770" s="1"/>
      <c r="H770" s="1"/>
      <c r="I770" s="3"/>
      <c r="J770" s="1"/>
      <c r="P770" s="1"/>
      <c r="Q770" s="2"/>
      <c r="R770" s="1"/>
      <c r="S770" s="1"/>
      <c r="T770" s="3"/>
      <c r="U770" s="3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75" customHeight="1" x14ac:dyDescent="0.25">
      <c r="A771" s="1"/>
      <c r="B771" s="1"/>
      <c r="C771" s="1"/>
      <c r="D771" s="1"/>
      <c r="E771" s="1"/>
      <c r="F771" s="3"/>
      <c r="G771" s="1"/>
      <c r="H771" s="1"/>
      <c r="I771" s="3"/>
      <c r="J771" s="1"/>
      <c r="P771" s="1"/>
      <c r="Q771" s="2"/>
      <c r="R771" s="1"/>
      <c r="S771" s="1"/>
      <c r="T771" s="3"/>
      <c r="U771" s="3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75" customHeight="1" x14ac:dyDescent="0.25">
      <c r="A772" s="1"/>
      <c r="B772" s="1"/>
      <c r="C772" s="1"/>
      <c r="D772" s="1"/>
      <c r="E772" s="1"/>
      <c r="F772" s="3"/>
      <c r="G772" s="1"/>
      <c r="H772" s="1"/>
      <c r="I772" s="3"/>
      <c r="J772" s="1"/>
      <c r="P772" s="1"/>
      <c r="Q772" s="2"/>
      <c r="R772" s="1"/>
      <c r="S772" s="1"/>
      <c r="T772" s="3"/>
      <c r="U772" s="3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75" customHeight="1" x14ac:dyDescent="0.25">
      <c r="A773" s="1"/>
      <c r="B773" s="1"/>
      <c r="C773" s="1"/>
      <c r="D773" s="1"/>
      <c r="E773" s="1"/>
      <c r="F773" s="3"/>
      <c r="G773" s="1"/>
      <c r="H773" s="1"/>
      <c r="I773" s="3"/>
      <c r="J773" s="1"/>
      <c r="P773" s="1"/>
      <c r="Q773" s="2"/>
      <c r="R773" s="1"/>
      <c r="S773" s="1"/>
      <c r="T773" s="3"/>
      <c r="U773" s="3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75" customHeight="1" x14ac:dyDescent="0.25">
      <c r="A774" s="1"/>
      <c r="B774" s="1"/>
      <c r="C774" s="1"/>
      <c r="D774" s="1"/>
      <c r="E774" s="1"/>
      <c r="F774" s="3"/>
      <c r="G774" s="1"/>
      <c r="H774" s="1"/>
      <c r="I774" s="3"/>
      <c r="J774" s="1"/>
      <c r="P774" s="1"/>
      <c r="Q774" s="2"/>
      <c r="R774" s="1"/>
      <c r="S774" s="1"/>
      <c r="T774" s="3"/>
      <c r="U774" s="3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75" customHeight="1" x14ac:dyDescent="0.25">
      <c r="A775" s="1"/>
      <c r="B775" s="1"/>
      <c r="C775" s="1"/>
      <c r="D775" s="1"/>
      <c r="E775" s="1"/>
      <c r="F775" s="3"/>
      <c r="G775" s="1"/>
      <c r="H775" s="1"/>
      <c r="I775" s="3"/>
      <c r="J775" s="1"/>
      <c r="P775" s="1"/>
      <c r="Q775" s="2"/>
      <c r="R775" s="1"/>
      <c r="S775" s="1"/>
      <c r="T775" s="3"/>
      <c r="U775" s="3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75" customHeight="1" x14ac:dyDescent="0.25">
      <c r="A776" s="1"/>
      <c r="B776" s="1"/>
      <c r="C776" s="1"/>
      <c r="D776" s="1"/>
      <c r="E776" s="1"/>
      <c r="F776" s="3"/>
      <c r="G776" s="1"/>
      <c r="H776" s="1"/>
      <c r="I776" s="3"/>
      <c r="J776" s="1"/>
      <c r="P776" s="1"/>
      <c r="Q776" s="2"/>
      <c r="R776" s="1"/>
      <c r="S776" s="1"/>
      <c r="T776" s="3"/>
      <c r="U776" s="3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75" customHeight="1" x14ac:dyDescent="0.25">
      <c r="A777" s="1"/>
      <c r="B777" s="1"/>
      <c r="C777" s="1"/>
      <c r="D777" s="1"/>
      <c r="E777" s="1"/>
      <c r="F777" s="3"/>
      <c r="G777" s="1"/>
      <c r="H777" s="1"/>
      <c r="I777" s="3"/>
      <c r="J777" s="1"/>
      <c r="P777" s="1"/>
      <c r="Q777" s="2"/>
      <c r="R777" s="1"/>
      <c r="S777" s="1"/>
      <c r="T777" s="3"/>
      <c r="U777" s="3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75" customHeight="1" x14ac:dyDescent="0.25">
      <c r="A778" s="1"/>
      <c r="B778" s="1"/>
      <c r="C778" s="1"/>
      <c r="D778" s="1"/>
      <c r="E778" s="1"/>
      <c r="F778" s="3"/>
      <c r="G778" s="1"/>
      <c r="H778" s="1"/>
      <c r="I778" s="3"/>
      <c r="J778" s="1"/>
      <c r="P778" s="1"/>
      <c r="Q778" s="2"/>
      <c r="R778" s="1"/>
      <c r="S778" s="1"/>
      <c r="T778" s="3"/>
      <c r="U778" s="3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75" customHeight="1" x14ac:dyDescent="0.25">
      <c r="A779" s="1"/>
      <c r="B779" s="1"/>
      <c r="C779" s="1"/>
      <c r="D779" s="1"/>
      <c r="E779" s="1"/>
      <c r="F779" s="3"/>
      <c r="G779" s="1"/>
      <c r="H779" s="1"/>
      <c r="I779" s="3"/>
      <c r="J779" s="1"/>
      <c r="P779" s="1"/>
      <c r="Q779" s="2"/>
      <c r="R779" s="1"/>
      <c r="S779" s="1"/>
      <c r="T779" s="3"/>
      <c r="U779" s="3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75" customHeight="1" x14ac:dyDescent="0.25">
      <c r="A780" s="1"/>
      <c r="B780" s="1"/>
      <c r="C780" s="1"/>
      <c r="D780" s="1"/>
      <c r="E780" s="1"/>
      <c r="F780" s="3"/>
      <c r="G780" s="1"/>
      <c r="H780" s="1"/>
      <c r="I780" s="3"/>
      <c r="J780" s="1"/>
      <c r="P780" s="1"/>
      <c r="Q780" s="2"/>
      <c r="R780" s="1"/>
      <c r="S780" s="1"/>
      <c r="T780" s="3"/>
      <c r="U780" s="3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75" customHeight="1" x14ac:dyDescent="0.25">
      <c r="A781" s="1"/>
      <c r="B781" s="1"/>
      <c r="C781" s="1"/>
      <c r="D781" s="1"/>
      <c r="E781" s="1"/>
      <c r="F781" s="3"/>
      <c r="G781" s="1"/>
      <c r="H781" s="1"/>
      <c r="I781" s="3"/>
      <c r="J781" s="1"/>
      <c r="P781" s="1"/>
      <c r="Q781" s="2"/>
      <c r="R781" s="1"/>
      <c r="S781" s="1"/>
      <c r="T781" s="3"/>
      <c r="U781" s="3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75" customHeight="1" x14ac:dyDescent="0.25">
      <c r="A782" s="1"/>
      <c r="B782" s="1"/>
      <c r="C782" s="1"/>
      <c r="D782" s="1"/>
      <c r="E782" s="1"/>
      <c r="F782" s="3"/>
      <c r="G782" s="1"/>
      <c r="H782" s="1"/>
      <c r="I782" s="3"/>
      <c r="J782" s="1"/>
      <c r="P782" s="1"/>
      <c r="Q782" s="2"/>
      <c r="R782" s="1"/>
      <c r="S782" s="1"/>
      <c r="T782" s="3"/>
      <c r="U782" s="3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75" customHeight="1" x14ac:dyDescent="0.25">
      <c r="A783" s="1"/>
      <c r="B783" s="1"/>
      <c r="C783" s="1"/>
      <c r="D783" s="1"/>
      <c r="E783" s="1"/>
      <c r="F783" s="3"/>
      <c r="G783" s="1"/>
      <c r="H783" s="1"/>
      <c r="I783" s="3"/>
      <c r="J783" s="1"/>
      <c r="P783" s="1"/>
      <c r="Q783" s="2"/>
      <c r="R783" s="1"/>
      <c r="S783" s="1"/>
      <c r="T783" s="3"/>
      <c r="U783" s="3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75" customHeight="1" x14ac:dyDescent="0.25">
      <c r="A784" s="1"/>
      <c r="B784" s="1"/>
      <c r="C784" s="1"/>
      <c r="D784" s="1"/>
      <c r="E784" s="1"/>
      <c r="F784" s="3"/>
      <c r="G784" s="1"/>
      <c r="H784" s="1"/>
      <c r="I784" s="3"/>
      <c r="J784" s="1"/>
      <c r="P784" s="1"/>
      <c r="Q784" s="2"/>
      <c r="R784" s="1"/>
      <c r="S784" s="1"/>
      <c r="T784" s="3"/>
      <c r="U784" s="3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75" customHeight="1" x14ac:dyDescent="0.25">
      <c r="A785" s="1"/>
      <c r="B785" s="1"/>
      <c r="C785" s="1"/>
      <c r="D785" s="1"/>
      <c r="E785" s="1"/>
      <c r="F785" s="3"/>
      <c r="G785" s="1"/>
      <c r="H785" s="1"/>
      <c r="I785" s="3"/>
      <c r="J785" s="1"/>
      <c r="P785" s="1"/>
      <c r="Q785" s="2"/>
      <c r="R785" s="1"/>
      <c r="S785" s="1"/>
      <c r="T785" s="3"/>
      <c r="U785" s="3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75" customHeight="1" x14ac:dyDescent="0.25">
      <c r="A786" s="1"/>
      <c r="B786" s="1"/>
      <c r="C786" s="1"/>
      <c r="D786" s="1"/>
      <c r="E786" s="1"/>
      <c r="F786" s="3"/>
      <c r="G786" s="1"/>
      <c r="H786" s="1"/>
      <c r="I786" s="3"/>
      <c r="J786" s="1"/>
      <c r="P786" s="1"/>
      <c r="Q786" s="2"/>
      <c r="R786" s="1"/>
      <c r="S786" s="1"/>
      <c r="T786" s="3"/>
      <c r="U786" s="3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75" customHeight="1" x14ac:dyDescent="0.25">
      <c r="A787" s="1"/>
      <c r="B787" s="1"/>
      <c r="C787" s="1"/>
      <c r="D787" s="1"/>
      <c r="E787" s="1"/>
      <c r="F787" s="3"/>
      <c r="G787" s="1"/>
      <c r="H787" s="1"/>
      <c r="I787" s="3"/>
      <c r="J787" s="1"/>
      <c r="P787" s="1"/>
      <c r="Q787" s="2"/>
      <c r="R787" s="1"/>
      <c r="S787" s="1"/>
      <c r="T787" s="3"/>
      <c r="U787" s="3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75" customHeight="1" x14ac:dyDescent="0.25">
      <c r="A788" s="1"/>
      <c r="B788" s="1"/>
      <c r="C788" s="1"/>
      <c r="D788" s="1"/>
      <c r="E788" s="1"/>
      <c r="F788" s="3"/>
      <c r="G788" s="1"/>
      <c r="H788" s="1"/>
      <c r="I788" s="3"/>
      <c r="J788" s="1"/>
      <c r="P788" s="1"/>
      <c r="Q788" s="2"/>
      <c r="R788" s="1"/>
      <c r="S788" s="1"/>
      <c r="T788" s="3"/>
      <c r="U788" s="3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75" customHeight="1" x14ac:dyDescent="0.25">
      <c r="A789" s="1"/>
      <c r="B789" s="1"/>
      <c r="C789" s="1"/>
      <c r="D789" s="1"/>
      <c r="E789" s="1"/>
      <c r="F789" s="3"/>
      <c r="G789" s="1"/>
      <c r="H789" s="1"/>
      <c r="I789" s="3"/>
      <c r="J789" s="1"/>
      <c r="P789" s="1"/>
      <c r="Q789" s="2"/>
      <c r="R789" s="1"/>
      <c r="S789" s="1"/>
      <c r="T789" s="3"/>
      <c r="U789" s="3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75" customHeight="1" x14ac:dyDescent="0.25">
      <c r="A790" s="1"/>
      <c r="B790" s="1"/>
      <c r="C790" s="1"/>
      <c r="D790" s="1"/>
      <c r="E790" s="1"/>
      <c r="F790" s="3"/>
      <c r="G790" s="1"/>
      <c r="H790" s="1"/>
      <c r="I790" s="3"/>
      <c r="J790" s="1"/>
      <c r="P790" s="1"/>
      <c r="Q790" s="2"/>
      <c r="R790" s="1"/>
      <c r="S790" s="1"/>
      <c r="T790" s="3"/>
      <c r="U790" s="3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75" customHeight="1" x14ac:dyDescent="0.25">
      <c r="A791" s="1"/>
      <c r="B791" s="1"/>
      <c r="C791" s="1"/>
      <c r="D791" s="1"/>
      <c r="E791" s="1"/>
      <c r="F791" s="3"/>
      <c r="G791" s="1"/>
      <c r="H791" s="1"/>
      <c r="I791" s="3"/>
      <c r="J791" s="1"/>
      <c r="P791" s="1"/>
      <c r="Q791" s="2"/>
      <c r="R791" s="1"/>
      <c r="S791" s="1"/>
      <c r="T791" s="3"/>
      <c r="U791" s="3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75" customHeight="1" x14ac:dyDescent="0.25">
      <c r="A792" s="1"/>
      <c r="B792" s="1"/>
      <c r="C792" s="1"/>
      <c r="D792" s="1"/>
      <c r="E792" s="1"/>
      <c r="F792" s="3"/>
      <c r="G792" s="1"/>
      <c r="H792" s="1"/>
      <c r="I792" s="3"/>
      <c r="J792" s="1"/>
      <c r="P792" s="1"/>
      <c r="Q792" s="2"/>
      <c r="R792" s="1"/>
      <c r="S792" s="1"/>
      <c r="T792" s="3"/>
      <c r="U792" s="3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75" customHeight="1" x14ac:dyDescent="0.25">
      <c r="A793" s="1"/>
      <c r="B793" s="1"/>
      <c r="C793" s="1"/>
      <c r="D793" s="1"/>
      <c r="E793" s="1"/>
      <c r="F793" s="3"/>
      <c r="G793" s="1"/>
      <c r="H793" s="1"/>
      <c r="I793" s="3"/>
      <c r="J793" s="1"/>
      <c r="P793" s="1"/>
      <c r="Q793" s="2"/>
      <c r="R793" s="1"/>
      <c r="S793" s="1"/>
      <c r="T793" s="3"/>
      <c r="U793" s="3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75" customHeight="1" x14ac:dyDescent="0.25">
      <c r="A794" s="1"/>
      <c r="B794" s="1"/>
      <c r="C794" s="1"/>
      <c r="D794" s="1"/>
      <c r="E794" s="1"/>
      <c r="F794" s="3"/>
      <c r="G794" s="1"/>
      <c r="H794" s="1"/>
      <c r="I794" s="3"/>
      <c r="J794" s="1"/>
      <c r="P794" s="1"/>
      <c r="Q794" s="2"/>
      <c r="R794" s="1"/>
      <c r="S794" s="1"/>
      <c r="T794" s="3"/>
      <c r="U794" s="3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75" customHeight="1" x14ac:dyDescent="0.25">
      <c r="A795" s="1"/>
      <c r="B795" s="1"/>
      <c r="C795" s="1"/>
      <c r="D795" s="1"/>
      <c r="E795" s="1"/>
      <c r="F795" s="3"/>
      <c r="G795" s="1"/>
      <c r="H795" s="1"/>
      <c r="I795" s="3"/>
      <c r="J795" s="1"/>
      <c r="P795" s="1"/>
      <c r="Q795" s="2"/>
      <c r="R795" s="1"/>
      <c r="S795" s="1"/>
      <c r="T795" s="3"/>
      <c r="U795" s="3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75" customHeight="1" x14ac:dyDescent="0.25">
      <c r="A796" s="1"/>
      <c r="B796" s="1"/>
      <c r="C796" s="1"/>
      <c r="D796" s="1"/>
      <c r="E796" s="1"/>
      <c r="F796" s="3"/>
      <c r="G796" s="1"/>
      <c r="H796" s="1"/>
      <c r="I796" s="3"/>
      <c r="J796" s="1"/>
      <c r="P796" s="1"/>
      <c r="Q796" s="2"/>
      <c r="R796" s="1"/>
      <c r="S796" s="1"/>
      <c r="T796" s="3"/>
      <c r="U796" s="3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75" customHeight="1" x14ac:dyDescent="0.25">
      <c r="A797" s="1"/>
      <c r="B797" s="1"/>
      <c r="C797" s="1"/>
      <c r="D797" s="1"/>
      <c r="E797" s="1"/>
      <c r="F797" s="3"/>
      <c r="G797" s="1"/>
      <c r="H797" s="1"/>
      <c r="I797" s="3"/>
      <c r="J797" s="1"/>
      <c r="P797" s="1"/>
      <c r="Q797" s="2"/>
      <c r="R797" s="1"/>
      <c r="S797" s="1"/>
      <c r="T797" s="3"/>
      <c r="U797" s="3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75" customHeight="1" x14ac:dyDescent="0.25">
      <c r="A798" s="1"/>
      <c r="B798" s="1"/>
      <c r="C798" s="1"/>
      <c r="D798" s="1"/>
      <c r="E798" s="1"/>
      <c r="F798" s="3"/>
      <c r="G798" s="1"/>
      <c r="H798" s="1"/>
      <c r="I798" s="3"/>
      <c r="J798" s="1"/>
      <c r="P798" s="1"/>
      <c r="Q798" s="2"/>
      <c r="R798" s="1"/>
      <c r="S798" s="1"/>
      <c r="T798" s="3"/>
      <c r="U798" s="3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75" customHeight="1" x14ac:dyDescent="0.25">
      <c r="A799" s="1"/>
      <c r="B799" s="1"/>
      <c r="C799" s="1"/>
      <c r="D799" s="1"/>
      <c r="E799" s="1"/>
      <c r="F799" s="3"/>
      <c r="G799" s="1"/>
      <c r="H799" s="1"/>
      <c r="I799" s="3"/>
      <c r="J799" s="1"/>
      <c r="P799" s="1"/>
      <c r="Q799" s="2"/>
      <c r="R799" s="1"/>
      <c r="S799" s="1"/>
      <c r="T799" s="3"/>
      <c r="U799" s="3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75" customHeight="1" x14ac:dyDescent="0.25">
      <c r="A800" s="1"/>
      <c r="B800" s="1"/>
      <c r="C800" s="1"/>
      <c r="D800" s="1"/>
      <c r="E800" s="1"/>
      <c r="F800" s="3"/>
      <c r="G800" s="1"/>
      <c r="H800" s="1"/>
      <c r="I800" s="3"/>
      <c r="J800" s="1"/>
      <c r="P800" s="1"/>
      <c r="Q800" s="2"/>
      <c r="R800" s="1"/>
      <c r="S800" s="1"/>
      <c r="T800" s="3"/>
      <c r="U800" s="3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75" customHeight="1" x14ac:dyDescent="0.25">
      <c r="A801" s="1"/>
      <c r="B801" s="1"/>
      <c r="C801" s="1"/>
      <c r="D801" s="1"/>
      <c r="E801" s="1"/>
      <c r="F801" s="3"/>
      <c r="G801" s="1"/>
      <c r="H801" s="1"/>
      <c r="I801" s="3"/>
      <c r="J801" s="1"/>
      <c r="P801" s="1"/>
      <c r="Q801" s="2"/>
      <c r="R801" s="1"/>
      <c r="S801" s="1"/>
      <c r="T801" s="3"/>
      <c r="U801" s="3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75" customHeight="1" x14ac:dyDescent="0.25">
      <c r="A802" s="1"/>
      <c r="B802" s="1"/>
      <c r="C802" s="1"/>
      <c r="D802" s="1"/>
      <c r="E802" s="1"/>
      <c r="F802" s="3"/>
      <c r="G802" s="1"/>
      <c r="H802" s="1"/>
      <c r="I802" s="3"/>
      <c r="J802" s="1"/>
      <c r="P802" s="1"/>
      <c r="Q802" s="2"/>
      <c r="R802" s="1"/>
      <c r="S802" s="1"/>
      <c r="T802" s="3"/>
      <c r="U802" s="3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75" customHeight="1" x14ac:dyDescent="0.25">
      <c r="A803" s="1"/>
      <c r="B803" s="1"/>
      <c r="C803" s="1"/>
      <c r="D803" s="1"/>
      <c r="E803" s="1"/>
      <c r="F803" s="3"/>
      <c r="G803" s="1"/>
      <c r="H803" s="1"/>
      <c r="I803" s="3"/>
      <c r="J803" s="1"/>
      <c r="P803" s="1"/>
      <c r="Q803" s="2"/>
      <c r="R803" s="1"/>
      <c r="S803" s="1"/>
      <c r="T803" s="3"/>
      <c r="U803" s="3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75" customHeight="1" x14ac:dyDescent="0.25">
      <c r="A804" s="1"/>
      <c r="B804" s="1"/>
      <c r="C804" s="1"/>
      <c r="D804" s="1"/>
      <c r="E804" s="1"/>
      <c r="F804" s="3"/>
      <c r="G804" s="1"/>
      <c r="H804" s="1"/>
      <c r="I804" s="3"/>
      <c r="J804" s="1"/>
      <c r="P804" s="1"/>
      <c r="Q804" s="2"/>
      <c r="R804" s="1"/>
      <c r="S804" s="1"/>
      <c r="T804" s="3"/>
      <c r="U804" s="3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75" customHeight="1" x14ac:dyDescent="0.25">
      <c r="A805" s="1"/>
      <c r="B805" s="1"/>
      <c r="C805" s="1"/>
      <c r="D805" s="1"/>
      <c r="E805" s="1"/>
      <c r="F805" s="3"/>
      <c r="G805" s="1"/>
      <c r="H805" s="1"/>
      <c r="I805" s="3"/>
      <c r="J805" s="1"/>
      <c r="P805" s="1"/>
      <c r="Q805" s="2"/>
      <c r="R805" s="1"/>
      <c r="S805" s="1"/>
      <c r="T805" s="3"/>
      <c r="U805" s="3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75" customHeight="1" x14ac:dyDescent="0.25">
      <c r="A806" s="1"/>
      <c r="B806" s="1"/>
      <c r="C806" s="1"/>
      <c r="D806" s="1"/>
      <c r="E806" s="1"/>
      <c r="F806" s="3"/>
      <c r="G806" s="1"/>
      <c r="H806" s="1"/>
      <c r="I806" s="3"/>
      <c r="J806" s="1"/>
      <c r="P806" s="1"/>
      <c r="Q806" s="2"/>
      <c r="R806" s="1"/>
      <c r="S806" s="1"/>
      <c r="T806" s="3"/>
      <c r="U806" s="3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75" customHeight="1" x14ac:dyDescent="0.25">
      <c r="A807" s="1"/>
      <c r="B807" s="1"/>
      <c r="C807" s="1"/>
      <c r="D807" s="1"/>
      <c r="E807" s="1"/>
      <c r="F807" s="3"/>
      <c r="G807" s="1"/>
      <c r="H807" s="1"/>
      <c r="I807" s="3"/>
      <c r="J807" s="1"/>
      <c r="P807" s="1"/>
      <c r="Q807" s="2"/>
      <c r="R807" s="1"/>
      <c r="S807" s="1"/>
      <c r="T807" s="3"/>
      <c r="U807" s="3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75" customHeight="1" x14ac:dyDescent="0.25">
      <c r="A808" s="1"/>
      <c r="B808" s="1"/>
      <c r="C808" s="1"/>
      <c r="D808" s="1"/>
      <c r="E808" s="1"/>
      <c r="F808" s="3"/>
      <c r="G808" s="1"/>
      <c r="H808" s="1"/>
      <c r="I808" s="3"/>
      <c r="J808" s="1"/>
      <c r="P808" s="1"/>
      <c r="Q808" s="2"/>
      <c r="R808" s="1"/>
      <c r="S808" s="1"/>
      <c r="T808" s="3"/>
      <c r="U808" s="3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75" customHeight="1" x14ac:dyDescent="0.25">
      <c r="A809" s="1"/>
      <c r="B809" s="1"/>
      <c r="C809" s="1"/>
      <c r="D809" s="1"/>
      <c r="E809" s="1"/>
      <c r="F809" s="3"/>
      <c r="G809" s="1"/>
      <c r="H809" s="1"/>
      <c r="I809" s="3"/>
      <c r="J809" s="1"/>
      <c r="P809" s="1"/>
      <c r="Q809" s="2"/>
      <c r="R809" s="1"/>
      <c r="S809" s="1"/>
      <c r="T809" s="3"/>
      <c r="U809" s="3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75" customHeight="1" x14ac:dyDescent="0.25">
      <c r="A810" s="1"/>
      <c r="B810" s="1"/>
      <c r="C810" s="1"/>
      <c r="D810" s="1"/>
      <c r="E810" s="1"/>
      <c r="F810" s="3"/>
      <c r="G810" s="1"/>
      <c r="H810" s="1"/>
      <c r="I810" s="3"/>
      <c r="J810" s="1"/>
      <c r="P810" s="1"/>
      <c r="Q810" s="2"/>
      <c r="R810" s="1"/>
      <c r="S810" s="1"/>
      <c r="T810" s="3"/>
      <c r="U810" s="3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75" customHeight="1" x14ac:dyDescent="0.25">
      <c r="A811" s="1"/>
      <c r="B811" s="1"/>
      <c r="C811" s="1"/>
      <c r="D811" s="1"/>
      <c r="E811" s="1"/>
      <c r="F811" s="3"/>
      <c r="G811" s="1"/>
      <c r="H811" s="1"/>
      <c r="I811" s="3"/>
      <c r="J811" s="1"/>
      <c r="P811" s="1"/>
      <c r="Q811" s="2"/>
      <c r="R811" s="1"/>
      <c r="S811" s="1"/>
      <c r="T811" s="3"/>
      <c r="U811" s="3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75" customHeight="1" x14ac:dyDescent="0.25">
      <c r="A812" s="1"/>
      <c r="B812" s="1"/>
      <c r="C812" s="1"/>
      <c r="D812" s="1"/>
      <c r="E812" s="1"/>
      <c r="F812" s="3"/>
      <c r="G812" s="1"/>
      <c r="H812" s="1"/>
      <c r="I812" s="3"/>
      <c r="J812" s="1"/>
      <c r="P812" s="1"/>
      <c r="Q812" s="2"/>
      <c r="R812" s="1"/>
      <c r="S812" s="1"/>
      <c r="T812" s="3"/>
      <c r="U812" s="3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75" customHeight="1" x14ac:dyDescent="0.25">
      <c r="A813" s="1"/>
      <c r="B813" s="1"/>
      <c r="C813" s="1"/>
      <c r="D813" s="1"/>
      <c r="E813" s="1"/>
      <c r="F813" s="3"/>
      <c r="G813" s="1"/>
      <c r="H813" s="1"/>
      <c r="I813" s="3"/>
      <c r="J813" s="1"/>
      <c r="P813" s="1"/>
      <c r="Q813" s="2"/>
      <c r="R813" s="1"/>
      <c r="S813" s="1"/>
      <c r="T813" s="3"/>
      <c r="U813" s="3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75" customHeight="1" x14ac:dyDescent="0.25">
      <c r="A814" s="1"/>
      <c r="B814" s="1"/>
      <c r="C814" s="1"/>
      <c r="D814" s="1"/>
      <c r="E814" s="1"/>
      <c r="F814" s="3"/>
      <c r="G814" s="1"/>
      <c r="H814" s="1"/>
      <c r="I814" s="3"/>
      <c r="J814" s="1"/>
      <c r="P814" s="1"/>
      <c r="Q814" s="2"/>
      <c r="R814" s="1"/>
      <c r="S814" s="1"/>
      <c r="T814" s="3"/>
      <c r="U814" s="3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75" customHeight="1" x14ac:dyDescent="0.25">
      <c r="A815" s="1"/>
      <c r="B815" s="1"/>
      <c r="C815" s="1"/>
      <c r="D815" s="1"/>
      <c r="E815" s="1"/>
      <c r="F815" s="3"/>
      <c r="G815" s="1"/>
      <c r="H815" s="1"/>
      <c r="I815" s="3"/>
      <c r="J815" s="1"/>
      <c r="P815" s="1"/>
      <c r="Q815" s="2"/>
      <c r="R815" s="1"/>
      <c r="S815" s="1"/>
      <c r="T815" s="3"/>
      <c r="U815" s="3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75" customHeight="1" x14ac:dyDescent="0.25">
      <c r="A816" s="1"/>
      <c r="B816" s="1"/>
      <c r="C816" s="1"/>
      <c r="D816" s="1"/>
      <c r="E816" s="1"/>
      <c r="F816" s="3"/>
      <c r="G816" s="1"/>
      <c r="H816" s="1"/>
      <c r="I816" s="3"/>
      <c r="J816" s="1"/>
      <c r="P816" s="1"/>
      <c r="Q816" s="2"/>
      <c r="R816" s="1"/>
      <c r="S816" s="1"/>
      <c r="T816" s="3"/>
      <c r="U816" s="3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75" customHeight="1" x14ac:dyDescent="0.25">
      <c r="A817" s="1"/>
      <c r="B817" s="1"/>
      <c r="C817" s="1"/>
      <c r="D817" s="1"/>
      <c r="E817" s="1"/>
      <c r="F817" s="3"/>
      <c r="G817" s="1"/>
      <c r="H817" s="1"/>
      <c r="I817" s="3"/>
      <c r="J817" s="1"/>
      <c r="P817" s="1"/>
      <c r="Q817" s="2"/>
      <c r="R817" s="1"/>
      <c r="S817" s="1"/>
      <c r="T817" s="3"/>
      <c r="U817" s="3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75" customHeight="1" x14ac:dyDescent="0.25">
      <c r="A818" s="1"/>
      <c r="B818" s="1"/>
      <c r="C818" s="1"/>
      <c r="D818" s="1"/>
      <c r="E818" s="1"/>
      <c r="F818" s="3"/>
      <c r="G818" s="1"/>
      <c r="H818" s="1"/>
      <c r="I818" s="3"/>
      <c r="J818" s="1"/>
      <c r="P818" s="1"/>
      <c r="Q818" s="2"/>
      <c r="R818" s="1"/>
      <c r="S818" s="1"/>
      <c r="T818" s="3"/>
      <c r="U818" s="3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75" customHeight="1" x14ac:dyDescent="0.25">
      <c r="A819" s="1"/>
      <c r="B819" s="1"/>
      <c r="C819" s="1"/>
      <c r="D819" s="1"/>
      <c r="E819" s="1"/>
      <c r="F819" s="3"/>
      <c r="G819" s="1"/>
      <c r="H819" s="1"/>
      <c r="I819" s="3"/>
      <c r="J819" s="1"/>
      <c r="P819" s="1"/>
      <c r="Q819" s="2"/>
      <c r="R819" s="1"/>
      <c r="S819" s="1"/>
      <c r="T819" s="3"/>
      <c r="U819" s="3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75" customHeight="1" x14ac:dyDescent="0.25">
      <c r="A820" s="1"/>
      <c r="B820" s="1"/>
      <c r="C820" s="1"/>
      <c r="D820" s="1"/>
      <c r="E820" s="1"/>
      <c r="F820" s="3"/>
      <c r="G820" s="1"/>
      <c r="H820" s="1"/>
      <c r="I820" s="3"/>
      <c r="J820" s="1"/>
      <c r="P820" s="1"/>
      <c r="Q820" s="2"/>
      <c r="R820" s="1"/>
      <c r="S820" s="1"/>
      <c r="T820" s="3"/>
      <c r="U820" s="3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75" customHeight="1" x14ac:dyDescent="0.25">
      <c r="A821" s="1"/>
      <c r="B821" s="1"/>
      <c r="C821" s="1"/>
      <c r="D821" s="1"/>
      <c r="E821" s="1"/>
      <c r="F821" s="3"/>
      <c r="G821" s="1"/>
      <c r="H821" s="1"/>
      <c r="I821" s="3"/>
      <c r="J821" s="1"/>
      <c r="P821" s="1"/>
      <c r="Q821" s="2"/>
      <c r="R821" s="1"/>
      <c r="S821" s="1"/>
      <c r="T821" s="3"/>
      <c r="U821" s="3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75" customHeight="1" x14ac:dyDescent="0.25">
      <c r="A822" s="1"/>
      <c r="B822" s="1"/>
      <c r="C822" s="1"/>
      <c r="D822" s="1"/>
      <c r="E822" s="1"/>
      <c r="F822" s="3"/>
      <c r="G822" s="1"/>
      <c r="H822" s="1"/>
      <c r="I822" s="3"/>
      <c r="J822" s="1"/>
      <c r="P822" s="1"/>
      <c r="Q822" s="2"/>
      <c r="R822" s="1"/>
      <c r="S822" s="1"/>
      <c r="T822" s="3"/>
      <c r="U822" s="3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75" customHeight="1" x14ac:dyDescent="0.25">
      <c r="A823" s="1"/>
      <c r="B823" s="1"/>
      <c r="C823" s="1"/>
      <c r="D823" s="1"/>
      <c r="E823" s="1"/>
      <c r="F823" s="3"/>
      <c r="G823" s="1"/>
      <c r="H823" s="1"/>
      <c r="I823" s="3"/>
      <c r="J823" s="1"/>
      <c r="P823" s="1"/>
      <c r="Q823" s="2"/>
      <c r="R823" s="1"/>
      <c r="S823" s="1"/>
      <c r="T823" s="3"/>
      <c r="U823" s="3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75" customHeight="1" x14ac:dyDescent="0.25">
      <c r="A824" s="1"/>
      <c r="B824" s="1"/>
      <c r="C824" s="1"/>
      <c r="D824" s="1"/>
      <c r="E824" s="1"/>
      <c r="F824" s="3"/>
      <c r="G824" s="1"/>
      <c r="H824" s="1"/>
      <c r="I824" s="3"/>
      <c r="J824" s="1"/>
      <c r="P824" s="1"/>
      <c r="Q824" s="2"/>
      <c r="R824" s="1"/>
      <c r="S824" s="1"/>
      <c r="T824" s="3"/>
      <c r="U824" s="3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75" customHeight="1" x14ac:dyDescent="0.25">
      <c r="A825" s="1"/>
      <c r="B825" s="1"/>
      <c r="C825" s="1"/>
      <c r="D825" s="1"/>
      <c r="E825" s="1"/>
      <c r="F825" s="3"/>
      <c r="G825" s="1"/>
      <c r="H825" s="1"/>
      <c r="I825" s="3"/>
      <c r="J825" s="1"/>
      <c r="P825" s="1"/>
      <c r="Q825" s="2"/>
      <c r="R825" s="1"/>
      <c r="S825" s="1"/>
      <c r="T825" s="3"/>
      <c r="U825" s="3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75" customHeight="1" x14ac:dyDescent="0.25">
      <c r="A826" s="1"/>
      <c r="B826" s="1"/>
      <c r="C826" s="1"/>
      <c r="D826" s="1"/>
      <c r="E826" s="1"/>
      <c r="F826" s="3"/>
      <c r="G826" s="1"/>
      <c r="H826" s="1"/>
      <c r="I826" s="3"/>
      <c r="J826" s="1"/>
      <c r="P826" s="1"/>
      <c r="Q826" s="2"/>
      <c r="R826" s="1"/>
      <c r="S826" s="1"/>
      <c r="T826" s="3"/>
      <c r="U826" s="3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75" customHeight="1" x14ac:dyDescent="0.25">
      <c r="A827" s="1"/>
      <c r="B827" s="1"/>
      <c r="C827" s="1"/>
      <c r="D827" s="1"/>
      <c r="E827" s="1"/>
      <c r="F827" s="3"/>
      <c r="G827" s="1"/>
      <c r="H827" s="1"/>
      <c r="I827" s="3"/>
      <c r="J827" s="1"/>
      <c r="P827" s="1"/>
      <c r="Q827" s="2"/>
      <c r="R827" s="1"/>
      <c r="S827" s="1"/>
      <c r="T827" s="3"/>
      <c r="U827" s="3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75" customHeight="1" x14ac:dyDescent="0.25">
      <c r="A828" s="1"/>
      <c r="B828" s="1"/>
      <c r="C828" s="1"/>
      <c r="D828" s="1"/>
      <c r="E828" s="1"/>
      <c r="F828" s="3"/>
      <c r="G828" s="1"/>
      <c r="H828" s="1"/>
      <c r="I828" s="3"/>
      <c r="J828" s="1"/>
      <c r="P828" s="1"/>
      <c r="Q828" s="2"/>
      <c r="R828" s="1"/>
      <c r="S828" s="1"/>
      <c r="T828" s="3"/>
      <c r="U828" s="3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75" customHeight="1" x14ac:dyDescent="0.25">
      <c r="A829" s="1"/>
      <c r="B829" s="1"/>
      <c r="C829" s="1"/>
      <c r="D829" s="1"/>
      <c r="E829" s="1"/>
      <c r="F829" s="3"/>
      <c r="G829" s="1"/>
      <c r="H829" s="1"/>
      <c r="I829" s="3"/>
      <c r="J829" s="1"/>
      <c r="P829" s="1"/>
      <c r="Q829" s="2"/>
      <c r="R829" s="1"/>
      <c r="S829" s="1"/>
      <c r="T829" s="3"/>
      <c r="U829" s="3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75" customHeight="1" x14ac:dyDescent="0.25">
      <c r="A830" s="1"/>
      <c r="B830" s="1"/>
      <c r="C830" s="1"/>
      <c r="D830" s="1"/>
      <c r="E830" s="1"/>
      <c r="F830" s="3"/>
      <c r="G830" s="1"/>
      <c r="H830" s="1"/>
      <c r="I830" s="3"/>
      <c r="J830" s="1"/>
      <c r="P830" s="1"/>
      <c r="Q830" s="2"/>
      <c r="R830" s="1"/>
      <c r="S830" s="1"/>
      <c r="T830" s="3"/>
      <c r="U830" s="3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75" customHeight="1" x14ac:dyDescent="0.25">
      <c r="A831" s="1"/>
      <c r="B831" s="1"/>
      <c r="C831" s="1"/>
      <c r="D831" s="1"/>
      <c r="E831" s="1"/>
      <c r="F831" s="3"/>
      <c r="G831" s="1"/>
      <c r="H831" s="1"/>
      <c r="I831" s="3"/>
      <c r="J831" s="1"/>
      <c r="P831" s="1"/>
      <c r="Q831" s="2"/>
      <c r="R831" s="1"/>
      <c r="S831" s="1"/>
      <c r="T831" s="3"/>
      <c r="U831" s="3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75" customHeight="1" x14ac:dyDescent="0.25">
      <c r="A832" s="1"/>
      <c r="B832" s="1"/>
      <c r="C832" s="1"/>
      <c r="D832" s="1"/>
      <c r="E832" s="1"/>
      <c r="F832" s="3"/>
      <c r="G832" s="1"/>
      <c r="H832" s="1"/>
      <c r="I832" s="3"/>
      <c r="J832" s="1"/>
      <c r="P832" s="1"/>
      <c r="Q832" s="2"/>
      <c r="R832" s="1"/>
      <c r="S832" s="1"/>
      <c r="T832" s="3"/>
      <c r="U832" s="3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75" customHeight="1" x14ac:dyDescent="0.25">
      <c r="A833" s="1"/>
      <c r="B833" s="1"/>
      <c r="C833" s="1"/>
      <c r="D833" s="1"/>
      <c r="E833" s="1"/>
      <c r="F833" s="3"/>
      <c r="G833" s="1"/>
      <c r="H833" s="1"/>
      <c r="I833" s="3"/>
      <c r="J833" s="1"/>
      <c r="P833" s="1"/>
      <c r="Q833" s="2"/>
      <c r="R833" s="1"/>
      <c r="S833" s="1"/>
      <c r="T833" s="3"/>
      <c r="U833" s="3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75" customHeight="1" x14ac:dyDescent="0.25">
      <c r="A834" s="1"/>
      <c r="B834" s="1"/>
      <c r="C834" s="1"/>
      <c r="D834" s="1"/>
      <c r="E834" s="1"/>
      <c r="F834" s="3"/>
      <c r="G834" s="1"/>
      <c r="H834" s="1"/>
      <c r="I834" s="3"/>
      <c r="J834" s="1"/>
      <c r="P834" s="1"/>
      <c r="Q834" s="2"/>
      <c r="R834" s="1"/>
      <c r="S834" s="1"/>
      <c r="T834" s="3"/>
      <c r="U834" s="3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75" customHeight="1" x14ac:dyDescent="0.25">
      <c r="A835" s="1"/>
      <c r="B835" s="1"/>
      <c r="C835" s="1"/>
      <c r="D835" s="1"/>
      <c r="E835" s="1"/>
      <c r="F835" s="3"/>
      <c r="G835" s="1"/>
      <c r="H835" s="1"/>
      <c r="I835" s="3"/>
      <c r="J835" s="1"/>
      <c r="P835" s="1"/>
      <c r="Q835" s="2"/>
      <c r="R835" s="1"/>
      <c r="S835" s="1"/>
      <c r="T835" s="3"/>
      <c r="U835" s="3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75" customHeight="1" x14ac:dyDescent="0.25">
      <c r="A836" s="1"/>
      <c r="B836" s="1"/>
      <c r="C836" s="1"/>
      <c r="D836" s="1"/>
      <c r="E836" s="1"/>
      <c r="F836" s="3"/>
      <c r="G836" s="1"/>
      <c r="H836" s="1"/>
      <c r="I836" s="3"/>
      <c r="J836" s="1"/>
      <c r="P836" s="1"/>
      <c r="Q836" s="2"/>
      <c r="R836" s="1"/>
      <c r="S836" s="1"/>
      <c r="T836" s="3"/>
      <c r="U836" s="3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75" customHeight="1" x14ac:dyDescent="0.25">
      <c r="A837" s="1"/>
      <c r="B837" s="1"/>
      <c r="C837" s="1"/>
      <c r="D837" s="1"/>
      <c r="E837" s="1"/>
      <c r="F837" s="3"/>
      <c r="G837" s="1"/>
      <c r="H837" s="1"/>
      <c r="I837" s="3"/>
      <c r="J837" s="1"/>
      <c r="P837" s="1"/>
      <c r="Q837" s="2"/>
      <c r="R837" s="1"/>
      <c r="S837" s="1"/>
      <c r="T837" s="3"/>
      <c r="U837" s="3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75" customHeight="1" x14ac:dyDescent="0.25">
      <c r="A838" s="1"/>
      <c r="B838" s="1"/>
      <c r="C838" s="1"/>
      <c r="D838" s="1"/>
      <c r="E838" s="1"/>
      <c r="F838" s="3"/>
      <c r="G838" s="1"/>
      <c r="H838" s="1"/>
      <c r="I838" s="3"/>
      <c r="J838" s="1"/>
      <c r="P838" s="1"/>
      <c r="Q838" s="2"/>
      <c r="R838" s="1"/>
      <c r="S838" s="1"/>
      <c r="T838" s="3"/>
      <c r="U838" s="3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75" customHeight="1" x14ac:dyDescent="0.25">
      <c r="A839" s="1"/>
      <c r="B839" s="1"/>
      <c r="C839" s="1"/>
      <c r="D839" s="1"/>
      <c r="E839" s="1"/>
      <c r="F839" s="3"/>
      <c r="G839" s="1"/>
      <c r="H839" s="1"/>
      <c r="I839" s="3"/>
      <c r="J839" s="1"/>
      <c r="P839" s="1"/>
      <c r="Q839" s="2"/>
      <c r="R839" s="1"/>
      <c r="S839" s="1"/>
      <c r="T839" s="3"/>
      <c r="U839" s="3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75" customHeight="1" x14ac:dyDescent="0.25">
      <c r="A840" s="1"/>
      <c r="B840" s="1"/>
      <c r="C840" s="1"/>
      <c r="D840" s="1"/>
      <c r="E840" s="1"/>
      <c r="F840" s="3"/>
      <c r="G840" s="1"/>
      <c r="H840" s="1"/>
      <c r="I840" s="3"/>
      <c r="J840" s="1"/>
      <c r="P840" s="1"/>
      <c r="Q840" s="2"/>
      <c r="R840" s="1"/>
      <c r="S840" s="1"/>
      <c r="T840" s="3"/>
      <c r="U840" s="3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75" customHeight="1" x14ac:dyDescent="0.25">
      <c r="A841" s="1"/>
      <c r="B841" s="1"/>
      <c r="C841" s="1"/>
      <c r="D841" s="1"/>
      <c r="E841" s="1"/>
      <c r="F841" s="3"/>
      <c r="G841" s="1"/>
      <c r="H841" s="1"/>
      <c r="I841" s="3"/>
      <c r="J841" s="1"/>
      <c r="P841" s="1"/>
      <c r="Q841" s="2"/>
      <c r="R841" s="1"/>
      <c r="S841" s="1"/>
      <c r="T841" s="3"/>
      <c r="U841" s="3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75" customHeight="1" x14ac:dyDescent="0.25">
      <c r="A842" s="1"/>
      <c r="B842" s="1"/>
      <c r="C842" s="1"/>
      <c r="D842" s="1"/>
      <c r="E842" s="1"/>
      <c r="F842" s="3"/>
      <c r="G842" s="1"/>
      <c r="H842" s="1"/>
      <c r="I842" s="3"/>
      <c r="J842" s="1"/>
      <c r="P842" s="1"/>
      <c r="Q842" s="2"/>
      <c r="R842" s="1"/>
      <c r="S842" s="1"/>
      <c r="T842" s="3"/>
      <c r="U842" s="3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75" customHeight="1" x14ac:dyDescent="0.25">
      <c r="A843" s="1"/>
      <c r="B843" s="1"/>
      <c r="C843" s="1"/>
      <c r="D843" s="1"/>
      <c r="E843" s="1"/>
      <c r="F843" s="3"/>
      <c r="G843" s="1"/>
      <c r="H843" s="1"/>
      <c r="I843" s="3"/>
      <c r="J843" s="1"/>
      <c r="P843" s="1"/>
      <c r="Q843" s="2"/>
      <c r="R843" s="1"/>
      <c r="S843" s="1"/>
      <c r="T843" s="3"/>
      <c r="U843" s="3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75" customHeight="1" x14ac:dyDescent="0.25">
      <c r="A844" s="1"/>
      <c r="B844" s="1"/>
      <c r="C844" s="1"/>
      <c r="D844" s="1"/>
      <c r="E844" s="1"/>
      <c r="F844" s="3"/>
      <c r="G844" s="1"/>
      <c r="H844" s="1"/>
      <c r="I844" s="3"/>
      <c r="J844" s="1"/>
      <c r="P844" s="1"/>
      <c r="Q844" s="2"/>
      <c r="R844" s="1"/>
      <c r="S844" s="1"/>
      <c r="T844" s="3"/>
      <c r="U844" s="3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75" customHeight="1" x14ac:dyDescent="0.25">
      <c r="A845" s="1"/>
      <c r="B845" s="1"/>
      <c r="C845" s="1"/>
      <c r="D845" s="1"/>
      <c r="E845" s="1"/>
      <c r="F845" s="3"/>
      <c r="G845" s="1"/>
      <c r="H845" s="1"/>
      <c r="I845" s="3"/>
      <c r="J845" s="1"/>
      <c r="P845" s="1"/>
      <c r="Q845" s="2"/>
      <c r="R845" s="1"/>
      <c r="S845" s="1"/>
      <c r="T845" s="3"/>
      <c r="U845" s="3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75" customHeight="1" x14ac:dyDescent="0.25">
      <c r="A846" s="1"/>
      <c r="B846" s="1"/>
      <c r="C846" s="1"/>
      <c r="D846" s="1"/>
      <c r="E846" s="1"/>
      <c r="F846" s="3"/>
      <c r="G846" s="1"/>
      <c r="H846" s="1"/>
      <c r="I846" s="3"/>
      <c r="J846" s="1"/>
      <c r="P846" s="1"/>
      <c r="Q846" s="2"/>
      <c r="R846" s="1"/>
      <c r="S846" s="1"/>
      <c r="T846" s="3"/>
      <c r="U846" s="3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75" customHeight="1" x14ac:dyDescent="0.25">
      <c r="A847" s="1"/>
      <c r="B847" s="1"/>
      <c r="C847" s="1"/>
      <c r="D847" s="1"/>
      <c r="E847" s="1"/>
      <c r="F847" s="3"/>
      <c r="G847" s="1"/>
      <c r="H847" s="1"/>
      <c r="I847" s="3"/>
      <c r="J847" s="1"/>
      <c r="P847" s="1"/>
      <c r="Q847" s="2"/>
      <c r="R847" s="1"/>
      <c r="S847" s="1"/>
      <c r="T847" s="3"/>
      <c r="U847" s="3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75" customHeight="1" x14ac:dyDescent="0.25">
      <c r="A848" s="1"/>
      <c r="B848" s="1"/>
      <c r="C848" s="1"/>
      <c r="D848" s="1"/>
      <c r="E848" s="1"/>
      <c r="F848" s="3"/>
      <c r="G848" s="1"/>
      <c r="H848" s="1"/>
      <c r="I848" s="3"/>
      <c r="J848" s="1"/>
      <c r="P848" s="1"/>
      <c r="Q848" s="2"/>
      <c r="R848" s="1"/>
      <c r="S848" s="1"/>
      <c r="T848" s="3"/>
      <c r="U848" s="3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75" customHeight="1" x14ac:dyDescent="0.25">
      <c r="A849" s="1"/>
      <c r="B849" s="1"/>
      <c r="C849" s="1"/>
      <c r="D849" s="1"/>
      <c r="E849" s="1"/>
      <c r="F849" s="3"/>
      <c r="G849" s="1"/>
      <c r="H849" s="1"/>
      <c r="I849" s="3"/>
      <c r="J849" s="1"/>
      <c r="P849" s="1"/>
      <c r="Q849" s="2"/>
      <c r="R849" s="1"/>
      <c r="S849" s="1"/>
      <c r="T849" s="3"/>
      <c r="U849" s="3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75" customHeight="1" x14ac:dyDescent="0.25">
      <c r="A850" s="1"/>
      <c r="B850" s="1"/>
      <c r="C850" s="1"/>
      <c r="D850" s="1"/>
      <c r="E850" s="1"/>
      <c r="F850" s="3"/>
      <c r="G850" s="1"/>
      <c r="H850" s="1"/>
      <c r="I850" s="3"/>
      <c r="J850" s="1"/>
      <c r="P850" s="1"/>
      <c r="Q850" s="2"/>
      <c r="R850" s="1"/>
      <c r="S850" s="1"/>
      <c r="T850" s="3"/>
      <c r="U850" s="3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75" customHeight="1" x14ac:dyDescent="0.25">
      <c r="A851" s="1"/>
      <c r="B851" s="1"/>
      <c r="C851" s="1"/>
      <c r="D851" s="1"/>
      <c r="E851" s="1"/>
      <c r="F851" s="3"/>
      <c r="G851" s="1"/>
      <c r="H851" s="1"/>
      <c r="I851" s="3"/>
      <c r="J851" s="1"/>
      <c r="P851" s="1"/>
      <c r="Q851" s="2"/>
      <c r="R851" s="1"/>
      <c r="S851" s="1"/>
      <c r="T851" s="3"/>
      <c r="U851" s="3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75" customHeight="1" x14ac:dyDescent="0.25">
      <c r="A852" s="1"/>
      <c r="B852" s="1"/>
      <c r="C852" s="1"/>
      <c r="D852" s="1"/>
      <c r="E852" s="1"/>
      <c r="F852" s="3"/>
      <c r="G852" s="1"/>
      <c r="H852" s="1"/>
      <c r="I852" s="3"/>
      <c r="J852" s="1"/>
      <c r="P852" s="1"/>
      <c r="Q852" s="2"/>
      <c r="R852" s="1"/>
      <c r="S852" s="1"/>
      <c r="T852" s="3"/>
      <c r="U852" s="3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75" customHeight="1" x14ac:dyDescent="0.25">
      <c r="A853" s="1"/>
      <c r="B853" s="1"/>
      <c r="C853" s="1"/>
      <c r="D853" s="1"/>
      <c r="E853" s="1"/>
      <c r="F853" s="3"/>
      <c r="G853" s="1"/>
      <c r="H853" s="1"/>
      <c r="I853" s="3"/>
      <c r="J853" s="1"/>
      <c r="P853" s="1"/>
      <c r="Q853" s="2"/>
      <c r="R853" s="1"/>
      <c r="S853" s="1"/>
      <c r="T853" s="3"/>
      <c r="U853" s="3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75" customHeight="1" x14ac:dyDescent="0.25">
      <c r="A854" s="1"/>
      <c r="B854" s="1"/>
      <c r="C854" s="1"/>
      <c r="D854" s="1"/>
      <c r="E854" s="1"/>
      <c r="F854" s="3"/>
      <c r="G854" s="1"/>
      <c r="H854" s="1"/>
      <c r="I854" s="3"/>
      <c r="J854" s="1"/>
      <c r="P854" s="1"/>
      <c r="Q854" s="2"/>
      <c r="R854" s="1"/>
      <c r="S854" s="1"/>
      <c r="T854" s="3"/>
      <c r="U854" s="3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75" customHeight="1" x14ac:dyDescent="0.25">
      <c r="A855" s="1"/>
      <c r="B855" s="1"/>
      <c r="C855" s="1"/>
      <c r="D855" s="1"/>
      <c r="E855" s="1"/>
      <c r="F855" s="3"/>
      <c r="G855" s="1"/>
      <c r="H855" s="1"/>
      <c r="I855" s="3"/>
      <c r="J855" s="1"/>
      <c r="P855" s="1"/>
      <c r="Q855" s="2"/>
      <c r="R855" s="1"/>
      <c r="S855" s="1"/>
      <c r="T855" s="3"/>
      <c r="U855" s="3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75" customHeight="1" x14ac:dyDescent="0.25">
      <c r="A856" s="1"/>
      <c r="B856" s="1"/>
      <c r="C856" s="1"/>
      <c r="D856" s="1"/>
      <c r="E856" s="1"/>
      <c r="F856" s="3"/>
      <c r="G856" s="1"/>
      <c r="H856" s="1"/>
      <c r="I856" s="3"/>
      <c r="J856" s="1"/>
      <c r="P856" s="1"/>
      <c r="Q856" s="2"/>
      <c r="R856" s="1"/>
      <c r="S856" s="1"/>
      <c r="T856" s="3"/>
      <c r="U856" s="3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75" customHeight="1" x14ac:dyDescent="0.25">
      <c r="A857" s="1"/>
      <c r="B857" s="1"/>
      <c r="C857" s="1"/>
      <c r="D857" s="1"/>
      <c r="E857" s="1"/>
      <c r="F857" s="3"/>
      <c r="G857" s="1"/>
      <c r="H857" s="1"/>
      <c r="I857" s="3"/>
      <c r="J857" s="1"/>
      <c r="P857" s="1"/>
      <c r="Q857" s="2"/>
      <c r="R857" s="1"/>
      <c r="S857" s="1"/>
      <c r="T857" s="3"/>
      <c r="U857" s="3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75" customHeight="1" x14ac:dyDescent="0.25">
      <c r="A858" s="1"/>
      <c r="B858" s="1"/>
      <c r="C858" s="1"/>
      <c r="D858" s="1"/>
      <c r="E858" s="1"/>
      <c r="F858" s="3"/>
      <c r="G858" s="1"/>
      <c r="H858" s="1"/>
      <c r="I858" s="3"/>
      <c r="J858" s="1"/>
      <c r="P858" s="1"/>
      <c r="Q858" s="2"/>
      <c r="R858" s="1"/>
      <c r="S858" s="1"/>
      <c r="T858" s="3"/>
      <c r="U858" s="3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75" customHeight="1" x14ac:dyDescent="0.25">
      <c r="A859" s="1"/>
      <c r="B859" s="1"/>
      <c r="C859" s="1"/>
      <c r="D859" s="1"/>
      <c r="E859" s="1"/>
      <c r="F859" s="3"/>
      <c r="G859" s="1"/>
      <c r="H859" s="1"/>
      <c r="I859" s="3"/>
      <c r="J859" s="1"/>
      <c r="P859" s="1"/>
      <c r="Q859" s="2"/>
      <c r="R859" s="1"/>
      <c r="S859" s="1"/>
      <c r="T859" s="3"/>
      <c r="U859" s="3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75" customHeight="1" x14ac:dyDescent="0.25">
      <c r="A860" s="1"/>
      <c r="B860" s="1"/>
      <c r="C860" s="1"/>
      <c r="D860" s="1"/>
      <c r="E860" s="1"/>
      <c r="F860" s="3"/>
      <c r="G860" s="1"/>
      <c r="H860" s="1"/>
      <c r="I860" s="3"/>
      <c r="J860" s="1"/>
      <c r="P860" s="1"/>
      <c r="Q860" s="2"/>
      <c r="R860" s="1"/>
      <c r="S860" s="1"/>
      <c r="T860" s="3"/>
      <c r="U860" s="3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75" customHeight="1" x14ac:dyDescent="0.25">
      <c r="A861" s="1"/>
      <c r="B861" s="1"/>
      <c r="C861" s="1"/>
      <c r="D861" s="1"/>
      <c r="E861" s="1"/>
      <c r="F861" s="3"/>
      <c r="G861" s="1"/>
      <c r="H861" s="1"/>
      <c r="I861" s="3"/>
      <c r="J861" s="1"/>
      <c r="P861" s="1"/>
      <c r="Q861" s="2"/>
      <c r="R861" s="1"/>
      <c r="S861" s="1"/>
      <c r="T861" s="3"/>
      <c r="U861" s="3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75" customHeight="1" x14ac:dyDescent="0.25">
      <c r="A862" s="1"/>
      <c r="B862" s="1"/>
      <c r="C862" s="1"/>
      <c r="D862" s="1"/>
      <c r="E862" s="1"/>
      <c r="F862" s="3"/>
      <c r="G862" s="1"/>
      <c r="H862" s="1"/>
      <c r="I862" s="3"/>
      <c r="J862" s="1"/>
      <c r="P862" s="1"/>
      <c r="Q862" s="2"/>
      <c r="R862" s="1"/>
      <c r="S862" s="1"/>
      <c r="T862" s="3"/>
      <c r="U862" s="3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75" customHeight="1" x14ac:dyDescent="0.25">
      <c r="A863" s="1"/>
      <c r="B863" s="1"/>
      <c r="C863" s="1"/>
      <c r="D863" s="1"/>
      <c r="E863" s="1"/>
      <c r="F863" s="3"/>
      <c r="G863" s="1"/>
      <c r="H863" s="1"/>
      <c r="I863" s="3"/>
      <c r="J863" s="1"/>
      <c r="P863" s="1"/>
      <c r="Q863" s="2"/>
      <c r="R863" s="1"/>
      <c r="S863" s="1"/>
      <c r="T863" s="3"/>
      <c r="U863" s="3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75" customHeight="1" x14ac:dyDescent="0.25">
      <c r="A864" s="1"/>
      <c r="B864" s="1"/>
      <c r="C864" s="1"/>
      <c r="D864" s="1"/>
      <c r="E864" s="1"/>
      <c r="F864" s="3"/>
      <c r="G864" s="1"/>
      <c r="H864" s="1"/>
      <c r="I864" s="3"/>
      <c r="J864" s="1"/>
      <c r="P864" s="1"/>
      <c r="Q864" s="2"/>
      <c r="R864" s="1"/>
      <c r="S864" s="1"/>
      <c r="T864" s="3"/>
      <c r="U864" s="3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75" customHeight="1" x14ac:dyDescent="0.25">
      <c r="A865" s="1"/>
      <c r="B865" s="1"/>
      <c r="C865" s="1"/>
      <c r="D865" s="1"/>
      <c r="E865" s="1"/>
      <c r="F865" s="3"/>
      <c r="G865" s="1"/>
      <c r="H865" s="1"/>
      <c r="I865" s="3"/>
      <c r="J865" s="1"/>
      <c r="P865" s="1"/>
      <c r="Q865" s="2"/>
      <c r="R865" s="1"/>
      <c r="S865" s="1"/>
      <c r="T865" s="3"/>
      <c r="U865" s="3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75" customHeight="1" x14ac:dyDescent="0.25">
      <c r="A866" s="1"/>
      <c r="B866" s="1"/>
      <c r="C866" s="1"/>
      <c r="D866" s="1"/>
      <c r="E866" s="1"/>
      <c r="F866" s="3"/>
      <c r="G866" s="1"/>
      <c r="H866" s="1"/>
      <c r="I866" s="3"/>
      <c r="J866" s="1"/>
      <c r="P866" s="1"/>
      <c r="Q866" s="2"/>
      <c r="R866" s="1"/>
      <c r="S866" s="1"/>
      <c r="T866" s="3"/>
      <c r="U866" s="3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75" customHeight="1" x14ac:dyDescent="0.25">
      <c r="A867" s="1"/>
      <c r="B867" s="1"/>
      <c r="C867" s="1"/>
      <c r="D867" s="1"/>
      <c r="E867" s="1"/>
      <c r="F867" s="3"/>
      <c r="G867" s="1"/>
      <c r="H867" s="1"/>
      <c r="I867" s="3"/>
      <c r="J867" s="1"/>
      <c r="P867" s="1"/>
      <c r="Q867" s="2"/>
      <c r="R867" s="1"/>
      <c r="S867" s="1"/>
      <c r="T867" s="3"/>
      <c r="U867" s="3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75" customHeight="1" x14ac:dyDescent="0.25">
      <c r="A868" s="1"/>
      <c r="B868" s="1"/>
      <c r="C868" s="1"/>
      <c r="D868" s="1"/>
      <c r="E868" s="1"/>
      <c r="F868" s="3"/>
      <c r="G868" s="1"/>
      <c r="H868" s="1"/>
      <c r="I868" s="3"/>
      <c r="J868" s="1"/>
      <c r="P868" s="1"/>
      <c r="Q868" s="2"/>
      <c r="R868" s="1"/>
      <c r="S868" s="1"/>
      <c r="T868" s="3"/>
      <c r="U868" s="3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75" customHeight="1" x14ac:dyDescent="0.25">
      <c r="A869" s="1"/>
      <c r="B869" s="1"/>
      <c r="C869" s="1"/>
      <c r="D869" s="1"/>
      <c r="E869" s="1"/>
      <c r="F869" s="3"/>
      <c r="G869" s="1"/>
      <c r="H869" s="1"/>
      <c r="I869" s="3"/>
      <c r="J869" s="1"/>
      <c r="P869" s="1"/>
      <c r="Q869" s="2"/>
      <c r="R869" s="1"/>
      <c r="S869" s="1"/>
      <c r="T869" s="3"/>
      <c r="U869" s="3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75" customHeight="1" x14ac:dyDescent="0.25">
      <c r="A870" s="1"/>
      <c r="B870" s="1"/>
      <c r="C870" s="1"/>
      <c r="D870" s="1"/>
      <c r="E870" s="1"/>
      <c r="F870" s="3"/>
      <c r="G870" s="1"/>
      <c r="H870" s="1"/>
      <c r="I870" s="3"/>
      <c r="J870" s="1"/>
      <c r="P870" s="1"/>
      <c r="Q870" s="2"/>
      <c r="R870" s="1"/>
      <c r="S870" s="1"/>
      <c r="T870" s="3"/>
      <c r="U870" s="3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75" customHeight="1" x14ac:dyDescent="0.25">
      <c r="A871" s="1"/>
      <c r="B871" s="1"/>
      <c r="C871" s="1"/>
      <c r="D871" s="1"/>
      <c r="E871" s="1"/>
      <c r="F871" s="3"/>
      <c r="G871" s="1"/>
      <c r="H871" s="1"/>
      <c r="I871" s="3"/>
      <c r="J871" s="1"/>
      <c r="P871" s="1"/>
      <c r="Q871" s="2"/>
      <c r="R871" s="1"/>
      <c r="S871" s="1"/>
      <c r="T871" s="3"/>
      <c r="U871" s="3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75" customHeight="1" x14ac:dyDescent="0.25">
      <c r="A872" s="1"/>
      <c r="B872" s="1"/>
      <c r="C872" s="1"/>
      <c r="D872" s="1"/>
      <c r="E872" s="1"/>
      <c r="F872" s="3"/>
      <c r="G872" s="1"/>
      <c r="H872" s="1"/>
      <c r="I872" s="3"/>
      <c r="J872" s="1"/>
      <c r="P872" s="1"/>
      <c r="Q872" s="2"/>
      <c r="R872" s="1"/>
      <c r="S872" s="1"/>
      <c r="T872" s="3"/>
      <c r="U872" s="3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75" customHeight="1" x14ac:dyDescent="0.25">
      <c r="A873" s="1"/>
      <c r="B873" s="1"/>
      <c r="C873" s="1"/>
      <c r="D873" s="1"/>
      <c r="E873" s="1"/>
      <c r="F873" s="3"/>
      <c r="G873" s="1"/>
      <c r="H873" s="1"/>
      <c r="I873" s="3"/>
      <c r="J873" s="1"/>
      <c r="P873" s="1"/>
      <c r="Q873" s="2"/>
      <c r="R873" s="1"/>
      <c r="S873" s="1"/>
      <c r="T873" s="3"/>
      <c r="U873" s="3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75" customHeight="1" x14ac:dyDescent="0.25">
      <c r="A874" s="1"/>
      <c r="B874" s="1"/>
      <c r="C874" s="1"/>
      <c r="D874" s="1"/>
      <c r="E874" s="1"/>
      <c r="F874" s="3"/>
      <c r="G874" s="1"/>
      <c r="H874" s="1"/>
      <c r="I874" s="3"/>
      <c r="J874" s="1"/>
      <c r="P874" s="1"/>
      <c r="Q874" s="2"/>
      <c r="R874" s="1"/>
      <c r="S874" s="1"/>
      <c r="T874" s="3"/>
      <c r="U874" s="3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75" customHeight="1" x14ac:dyDescent="0.25">
      <c r="A875" s="1"/>
      <c r="B875" s="1"/>
      <c r="C875" s="1"/>
      <c r="D875" s="1"/>
      <c r="E875" s="1"/>
      <c r="F875" s="3"/>
      <c r="G875" s="1"/>
      <c r="H875" s="1"/>
      <c r="I875" s="3"/>
      <c r="J875" s="1"/>
      <c r="P875" s="1"/>
      <c r="Q875" s="2"/>
      <c r="R875" s="1"/>
      <c r="S875" s="1"/>
      <c r="T875" s="3"/>
      <c r="U875" s="3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75" customHeight="1" x14ac:dyDescent="0.25">
      <c r="A876" s="1"/>
      <c r="B876" s="1"/>
      <c r="C876" s="1"/>
      <c r="D876" s="1"/>
      <c r="E876" s="1"/>
      <c r="F876" s="3"/>
      <c r="G876" s="1"/>
      <c r="H876" s="1"/>
      <c r="I876" s="3"/>
      <c r="J876" s="1"/>
      <c r="P876" s="1"/>
      <c r="Q876" s="2"/>
      <c r="R876" s="1"/>
      <c r="S876" s="1"/>
      <c r="T876" s="3"/>
      <c r="U876" s="3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75" customHeight="1" x14ac:dyDescent="0.25">
      <c r="A877" s="1"/>
      <c r="B877" s="1"/>
      <c r="C877" s="1"/>
      <c r="D877" s="1"/>
      <c r="E877" s="1"/>
      <c r="F877" s="3"/>
      <c r="G877" s="1"/>
      <c r="H877" s="1"/>
      <c r="I877" s="3"/>
      <c r="J877" s="1"/>
      <c r="P877" s="1"/>
      <c r="Q877" s="2"/>
      <c r="R877" s="1"/>
      <c r="S877" s="1"/>
      <c r="T877" s="3"/>
      <c r="U877" s="3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75" customHeight="1" x14ac:dyDescent="0.25">
      <c r="A878" s="1"/>
      <c r="B878" s="1"/>
      <c r="C878" s="1"/>
      <c r="D878" s="1"/>
      <c r="E878" s="1"/>
      <c r="F878" s="3"/>
      <c r="G878" s="1"/>
      <c r="H878" s="1"/>
      <c r="I878" s="3"/>
      <c r="J878" s="1"/>
      <c r="P878" s="1"/>
      <c r="Q878" s="2"/>
      <c r="R878" s="1"/>
      <c r="S878" s="1"/>
      <c r="T878" s="3"/>
      <c r="U878" s="3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75" customHeight="1" x14ac:dyDescent="0.25">
      <c r="A879" s="1"/>
      <c r="B879" s="1"/>
      <c r="C879" s="1"/>
      <c r="D879" s="1"/>
      <c r="E879" s="1"/>
      <c r="F879" s="3"/>
      <c r="G879" s="1"/>
      <c r="H879" s="1"/>
      <c r="I879" s="3"/>
      <c r="J879" s="1"/>
      <c r="P879" s="1"/>
      <c r="Q879" s="2"/>
      <c r="R879" s="1"/>
      <c r="S879" s="1"/>
      <c r="T879" s="3"/>
      <c r="U879" s="3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75" customHeight="1" x14ac:dyDescent="0.25">
      <c r="A880" s="1"/>
      <c r="B880" s="1"/>
      <c r="C880" s="1"/>
      <c r="D880" s="1"/>
      <c r="E880" s="1"/>
      <c r="F880" s="3"/>
      <c r="G880" s="1"/>
      <c r="H880" s="1"/>
      <c r="I880" s="3"/>
      <c r="J880" s="1"/>
      <c r="P880" s="1"/>
      <c r="Q880" s="2"/>
      <c r="R880" s="1"/>
      <c r="S880" s="1"/>
      <c r="T880" s="3"/>
      <c r="U880" s="3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75" customHeight="1" x14ac:dyDescent="0.25">
      <c r="A881" s="1"/>
      <c r="B881" s="1"/>
      <c r="C881" s="1"/>
      <c r="D881" s="1"/>
      <c r="E881" s="1"/>
      <c r="F881" s="3"/>
      <c r="G881" s="1"/>
      <c r="H881" s="1"/>
      <c r="I881" s="3"/>
      <c r="J881" s="1"/>
      <c r="P881" s="1"/>
      <c r="Q881" s="2"/>
      <c r="R881" s="1"/>
      <c r="S881" s="1"/>
      <c r="T881" s="3"/>
      <c r="U881" s="3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75" customHeight="1" x14ac:dyDescent="0.25">
      <c r="A882" s="1"/>
      <c r="B882" s="1"/>
      <c r="C882" s="1"/>
      <c r="D882" s="1"/>
      <c r="E882" s="1"/>
      <c r="F882" s="3"/>
      <c r="G882" s="1"/>
      <c r="H882" s="1"/>
      <c r="I882" s="3"/>
      <c r="J882" s="1"/>
      <c r="P882" s="1"/>
      <c r="Q882" s="2"/>
      <c r="R882" s="1"/>
      <c r="S882" s="1"/>
      <c r="T882" s="3"/>
      <c r="U882" s="3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75" customHeight="1" x14ac:dyDescent="0.25">
      <c r="A883" s="1"/>
      <c r="B883" s="1"/>
      <c r="C883" s="1"/>
      <c r="D883" s="1"/>
      <c r="E883" s="1"/>
      <c r="F883" s="3"/>
      <c r="G883" s="1"/>
      <c r="H883" s="1"/>
      <c r="I883" s="3"/>
      <c r="J883" s="1"/>
      <c r="P883" s="1"/>
      <c r="Q883" s="2"/>
      <c r="R883" s="1"/>
      <c r="S883" s="1"/>
      <c r="T883" s="3"/>
      <c r="U883" s="3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75" customHeight="1" x14ac:dyDescent="0.25">
      <c r="A884" s="1"/>
      <c r="B884" s="1"/>
      <c r="C884" s="1"/>
      <c r="D884" s="1"/>
      <c r="E884" s="1"/>
      <c r="F884" s="3"/>
      <c r="G884" s="1"/>
      <c r="H884" s="1"/>
      <c r="I884" s="3"/>
      <c r="J884" s="1"/>
      <c r="P884" s="1"/>
      <c r="Q884" s="2"/>
      <c r="R884" s="1"/>
      <c r="S884" s="1"/>
      <c r="T884" s="3"/>
      <c r="U884" s="3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75" customHeight="1" x14ac:dyDescent="0.25">
      <c r="A885" s="1"/>
      <c r="B885" s="1"/>
      <c r="C885" s="1"/>
      <c r="D885" s="1"/>
      <c r="E885" s="1"/>
      <c r="F885" s="3"/>
      <c r="G885" s="1"/>
      <c r="H885" s="1"/>
      <c r="I885" s="3"/>
      <c r="J885" s="1"/>
      <c r="P885" s="1"/>
      <c r="Q885" s="2"/>
      <c r="R885" s="1"/>
      <c r="S885" s="1"/>
      <c r="T885" s="3"/>
      <c r="U885" s="3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75" customHeight="1" x14ac:dyDescent="0.25">
      <c r="A886" s="1"/>
      <c r="B886" s="1"/>
      <c r="C886" s="1"/>
      <c r="D886" s="1"/>
      <c r="E886" s="1"/>
      <c r="F886" s="3"/>
      <c r="G886" s="1"/>
      <c r="H886" s="1"/>
      <c r="I886" s="3"/>
      <c r="J886" s="1"/>
      <c r="P886" s="1"/>
      <c r="Q886" s="2"/>
      <c r="R886" s="1"/>
      <c r="S886" s="1"/>
      <c r="T886" s="3"/>
      <c r="U886" s="3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75" customHeight="1" x14ac:dyDescent="0.25">
      <c r="A887" s="1"/>
      <c r="B887" s="1"/>
      <c r="C887" s="1"/>
      <c r="D887" s="1"/>
      <c r="E887" s="1"/>
      <c r="F887" s="3"/>
      <c r="G887" s="1"/>
      <c r="H887" s="1"/>
      <c r="I887" s="3"/>
      <c r="J887" s="1"/>
      <c r="P887" s="1"/>
      <c r="Q887" s="2"/>
      <c r="R887" s="1"/>
      <c r="S887" s="1"/>
      <c r="T887" s="3"/>
      <c r="U887" s="3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75" customHeight="1" x14ac:dyDescent="0.25">
      <c r="A888" s="1"/>
      <c r="B888" s="1"/>
      <c r="C888" s="1"/>
      <c r="D888" s="1"/>
      <c r="E888" s="1"/>
      <c r="F888" s="3"/>
      <c r="G888" s="1"/>
      <c r="H888" s="1"/>
      <c r="I888" s="3"/>
      <c r="J888" s="1"/>
      <c r="P888" s="1"/>
      <c r="Q888" s="2"/>
      <c r="R888" s="1"/>
      <c r="S888" s="1"/>
      <c r="T888" s="3"/>
      <c r="U888" s="3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75" customHeight="1" x14ac:dyDescent="0.25">
      <c r="A889" s="1"/>
      <c r="B889" s="1"/>
      <c r="C889" s="1"/>
      <c r="D889" s="1"/>
      <c r="E889" s="1"/>
      <c r="F889" s="3"/>
      <c r="G889" s="1"/>
      <c r="H889" s="1"/>
      <c r="I889" s="3"/>
      <c r="J889" s="1"/>
      <c r="P889" s="1"/>
      <c r="Q889" s="2"/>
      <c r="R889" s="1"/>
      <c r="S889" s="1"/>
      <c r="T889" s="3"/>
      <c r="U889" s="3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75" customHeight="1" x14ac:dyDescent="0.25">
      <c r="A890" s="1"/>
      <c r="B890" s="1"/>
      <c r="C890" s="1"/>
      <c r="D890" s="1"/>
      <c r="E890" s="1"/>
      <c r="F890" s="3"/>
      <c r="G890" s="1"/>
      <c r="H890" s="1"/>
      <c r="I890" s="3"/>
      <c r="J890" s="1"/>
      <c r="P890" s="1"/>
      <c r="Q890" s="2"/>
      <c r="R890" s="1"/>
      <c r="S890" s="1"/>
      <c r="T890" s="3"/>
      <c r="U890" s="3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</sheetData>
  <conditionalFormatting sqref="A2:S11">
    <cfRule type="expression" dxfId="5" priority="3">
      <formula>AND(TODAY()-$L2&gt;60,$L2&lt;&gt;"")</formula>
    </cfRule>
  </conditionalFormatting>
  <conditionalFormatting sqref="C2:C11">
    <cfRule type="duplicateValues" dxfId="1" priority="1"/>
  </conditionalFormatting>
  <dataValidations count="10">
    <dataValidation type="list" allowBlank="1" showInputMessage="1" showErrorMessage="1" sqref="D2:D11" xr:uid="{ADA84BA5-8172-4169-A88E-E06ADB5C6AA4}">
      <formula1>ListaDepartamentos</formula1>
    </dataValidation>
    <dataValidation type="list" allowBlank="1" showInputMessage="1" showErrorMessage="1" sqref="B2:B11" xr:uid="{29C9B660-EA9F-4281-9950-174A71E57B65}">
      <formula1>Vendedor</formula1>
    </dataValidation>
    <dataValidation type="list" allowBlank="1" showInputMessage="1" showErrorMessage="1" sqref="M2:M11" xr:uid="{266E42FE-DCBC-46FB-93CA-C2D2072B804A}">
      <formula1>COMPRA</formula1>
    </dataValidation>
    <dataValidation type="list" allowBlank="1" showInputMessage="1" showErrorMessage="1" sqref="K2:K11" xr:uid="{6835984D-A424-4A67-8D57-E49D391FDD30}">
      <formula1>ESTADO</formula1>
    </dataValidation>
    <dataValidation type="list" allowBlank="1" showInputMessage="1" showErrorMessage="1" sqref="Q2:Q11" xr:uid="{05A93460-8DD1-4F63-8FF5-E1ABA07C2CCB}">
      <formula1>COTIZADO</formula1>
    </dataValidation>
    <dataValidation type="list" allowBlank="1" showInputMessage="1" showErrorMessage="1" sqref="G2:G11" xr:uid="{C104AB8F-4B2F-4247-A06D-4CC91E154F82}">
      <formula1>TipoEmpresa</formula1>
    </dataValidation>
    <dataValidation type="list" allowBlank="1" showInputMessage="1" showErrorMessage="1" sqref="H2:H11" xr:uid="{CE11165E-A385-4CF8-8947-2FC0B9CF3818}">
      <formula1>ListaEmpresasDependiente</formula1>
    </dataValidation>
    <dataValidation type="list" allowBlank="1" showInputMessage="1" showErrorMessage="1" sqref="E2:E11" xr:uid="{FBE5F86D-3302-47A1-BE57-0C7AFCE90599}">
      <formula1>ListaMunicipiosDependiente</formula1>
    </dataValidation>
    <dataValidation type="list" allowBlank="1" showInputMessage="1" showErrorMessage="1" sqref="N2:N11" xr:uid="{47F9BC66-C70F-4B80-81F1-DA66F92FC47E}">
      <formula1>ListaSoloElectricos</formula1>
    </dataValidation>
    <dataValidation type="list" allowBlank="1" showInputMessage="1" showErrorMessage="1" sqref="O2:O11 I2:I11" xr:uid="{008A6EFE-5CEC-4658-9862-5D20FB3DA7A9}">
      <formula1>ListaContactosDependiente</formula1>
    </dataValidation>
  </dataValidations>
  <hyperlinks>
    <hyperlink ref="S2" r:id="rId1" xr:uid="{B4FBE5A7-3BBC-4E40-BC22-FC8B2B558856}"/>
  </hyperlinks>
  <pageMargins left="0.7" right="0.7" top="0.75" bottom="0.75" header="0" footer="0"/>
  <pageSetup paperSize="9" fitToHeight="0" orientation="landscape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A3F0859-1193-470B-9988-BBB9F47FD25C}">
            <xm:f>$K2=Listas!$B$7</xm:f>
            <x14:dxf>
              <fill>
                <patternFill>
                  <bgColor theme="1" tint="0.499984740745262"/>
                </patternFill>
              </fill>
            </x14:dxf>
          </x14:cfRule>
          <x14:cfRule type="expression" priority="7" id="{D980646B-DBDE-4628-A554-82878B5957CC}">
            <xm:f>AND(OR($K2=Listas!$B$5,$K2=Listas!$B$6),$Q2=Listas!$G$3)</xm:f>
            <x14:dxf>
              <font>
                <color theme="0"/>
              </font>
              <fill>
                <patternFill>
                  <bgColor rgb="FFC00000"/>
                </patternFill>
              </fill>
            </x14:dxf>
          </x14:cfRule>
          <x14:cfRule type="expression" priority="8" id="{1849CFC7-3CD3-42F2-BC0A-ABA6E0BBA373}">
            <xm:f>AND(OR($K2=Listas!$B$3,$K2=Listas!$B$4),$Q2=Listas!$G$3)</xm:f>
            <x14:dxf>
              <fill>
                <patternFill>
                  <bgColor rgb="FFFFC000"/>
                </patternFill>
              </fill>
            </x14:dxf>
          </x14:cfRule>
          <x14:cfRule type="expression" priority="9" id="{76B34175-3AEE-4C1D-90C8-86DB18EDC218}">
            <xm:f>OR($K2=Listas!$B$5,$K2=Listas!$B$6)</xm:f>
            <x14:dxf>
              <fill>
                <patternFill>
                  <bgColor theme="5" tint="0.59996337778862885"/>
                </patternFill>
              </fill>
            </x14:dxf>
          </x14:cfRule>
          <xm:sqref>A2:S11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0F40-BAB6-4889-9990-F86D68AFCBE2}">
  <dimension ref="B1:AQ1104"/>
  <sheetViews>
    <sheetView topLeftCell="E1" workbookViewId="0">
      <selection activeCell="I1" sqref="I1"/>
    </sheetView>
  </sheetViews>
  <sheetFormatPr baseColWidth="10" defaultRowHeight="15" x14ac:dyDescent="0.25"/>
  <cols>
    <col min="2" max="2" width="17.7109375" customWidth="1"/>
    <col min="3" max="3" width="15.85546875" customWidth="1"/>
    <col min="6" max="6" width="13.85546875" customWidth="1"/>
    <col min="7" max="7" width="29.7109375" bestFit="1" customWidth="1"/>
    <col min="8" max="10" width="17.7109375" customWidth="1"/>
  </cols>
  <sheetData>
    <row r="1" spans="2:43" x14ac:dyDescent="0.25">
      <c r="B1" t="s">
        <v>35</v>
      </c>
      <c r="C1" t="s">
        <v>36</v>
      </c>
      <c r="F1" t="s">
        <v>47</v>
      </c>
      <c r="G1" t="s">
        <v>48</v>
      </c>
      <c r="H1" t="s">
        <v>35</v>
      </c>
      <c r="J1" t="e" cm="1">
        <f t="array" ref="J1">_xlfn.LET(
    _xlpm.matriz,_xlfn.ANCHORARRAY( Región!$K$1),
    _xlpm.columna_n, MATCH(TablaDatos[ [#This Row],[Departamento] ], INDEX(_xlpm.matriz, 1, 0), 0),
    _xlpm.rango_col, INDEX(_xlpm.matriz, 0, _xlpm.columna_n),
    INDEX(_xlpm.rango_col, 2) : INDEX(_xlpm.rango_col, COUNTA(_xlpm.rango_col))
)</f>
        <v>#VALUE!</v>
      </c>
      <c r="K1" t="str" cm="1">
        <f t="array" ref="K1:AQ126">_xlfn.LET(
    _xlpm.deps, TablaDepartamentos[departamento],
    IFERROR(_xlfn.DROP(_xlfn.REDUCE("", _xlpm.deps, _xlfn.LAMBDA(_xlpm.matriz,_xlpm.d,
        _xlfn.LET(
            _xlpm.idDep, _xlfn.XLOOKUP(_xlpm.d, TablaDepartamentos[departamento], TablaDepartamentos[departamentoID]),
            _xlpm.muni, _xlfn._xlws.FILTER(TablaMunicipios[municipio], TablaMunicipios[departamentoID]=_xlpm.idDep, " "),
            _xlfn.HSTACK(_xlpm.matriz, _xlfn.VSTACK(_xlpm.d, _xlpm.muni))
        )
    )), , 1), "")
)</f>
        <v>Bogotá</v>
      </c>
      <c r="L1" t="str">
        <v>Amazonas</v>
      </c>
      <c r="M1" t="str">
        <v>Antioquia</v>
      </c>
      <c r="N1" t="str">
        <v>Arauca</v>
      </c>
      <c r="O1" t="str">
        <v>Atlántico</v>
      </c>
      <c r="P1" t="str">
        <v>Bolívar</v>
      </c>
      <c r="Q1" t="str">
        <v>Boyacá</v>
      </c>
      <c r="R1" t="str">
        <v>Caldas</v>
      </c>
      <c r="S1" t="str">
        <v>Caquetá</v>
      </c>
      <c r="T1" t="str">
        <v>Casanare</v>
      </c>
      <c r="U1" t="str">
        <v>Cauca</v>
      </c>
      <c r="V1" t="str">
        <v>Cesar</v>
      </c>
      <c r="W1" t="str">
        <v>Chocó</v>
      </c>
      <c r="X1" t="str">
        <v>Córdoba</v>
      </c>
      <c r="Y1" t="str">
        <v>Cundinamarca</v>
      </c>
      <c r="Z1" t="str">
        <v>Guainía</v>
      </c>
      <c r="AA1" t="str">
        <v>Guaviare</v>
      </c>
      <c r="AB1" t="str">
        <v>Huila</v>
      </c>
      <c r="AC1" t="str">
        <v>La Guajira</v>
      </c>
      <c r="AD1" t="str">
        <v>Magdalena</v>
      </c>
      <c r="AE1" t="str">
        <v>Meta</v>
      </c>
      <c r="AF1" t="str">
        <v>Nariño</v>
      </c>
      <c r="AG1" t="str">
        <v>Norte de Santander</v>
      </c>
      <c r="AH1" t="str">
        <v>Putumayo</v>
      </c>
      <c r="AI1" t="str">
        <v>Quindío</v>
      </c>
      <c r="AJ1" t="str">
        <v>Risaralda</v>
      </c>
      <c r="AK1" t="str">
        <v>Archipiélago de San Andrés, Providencia y Santa Catalina</v>
      </c>
      <c r="AL1" t="str">
        <v>Santander</v>
      </c>
      <c r="AM1" t="str">
        <v>Sucre</v>
      </c>
      <c r="AN1" t="str">
        <v>Tolima</v>
      </c>
      <c r="AO1" t="str">
        <v>Valle del Cauca</v>
      </c>
      <c r="AP1" t="str">
        <v>Vaupés</v>
      </c>
      <c r="AQ1" t="str">
        <v>Vichada</v>
      </c>
    </row>
    <row r="2" spans="2:43" x14ac:dyDescent="0.25">
      <c r="B2">
        <v>1</v>
      </c>
      <c r="C2" t="s">
        <v>51</v>
      </c>
      <c r="F2">
        <v>1</v>
      </c>
      <c r="G2" t="s">
        <v>51</v>
      </c>
      <c r="H2">
        <v>1</v>
      </c>
      <c r="J2" cm="1">
        <f t="array" aca="1" ref="J2" ca="1">_xlfn.LET(
    _xlpm.matriz,_xlfn.ANCHORARRAY( Región!$K$1),
    _xlpm.dep, INDIRECT("FC[-1]", FALSE),
    _xlpm.col_n, IFERROR(MATCH(_xlpm.dep, INDEX(_xlpm.matriz, 1, 0), 0), 0),
    IF(_xlpm.col_n=0, Región!$WZZ$1,
        _xlfn.LET(
            _xlpm.rango_col, INDEX(_xlpm.matriz, 0, _xlpm.col_n),
            INDEX(_xlpm.rango_col, 2) : INDEX(_xlpm.rango_col, COUNTA(_xlpm.rango_col))
        )
    )
)</f>
        <v>0</v>
      </c>
      <c r="K2" t="str">
        <v>Bogotá</v>
      </c>
      <c r="L2" t="str">
        <v>Leticia</v>
      </c>
      <c r="M2" t="str">
        <v>Medellín</v>
      </c>
      <c r="N2" t="str">
        <v>Arauca</v>
      </c>
      <c r="O2" t="str">
        <v>Barranquilla</v>
      </c>
      <c r="P2" t="str">
        <v>Cartagena de Indias</v>
      </c>
      <c r="Q2" t="str">
        <v>Tunja</v>
      </c>
      <c r="R2" t="str">
        <v>Manizales</v>
      </c>
      <c r="S2" t="str">
        <v>Florencia</v>
      </c>
      <c r="T2" t="str">
        <v>Yopal</v>
      </c>
      <c r="U2" t="str">
        <v>Popayán</v>
      </c>
      <c r="V2" t="str">
        <v>Valledupar</v>
      </c>
      <c r="W2" t="str">
        <v>Quibdó</v>
      </c>
      <c r="X2" t="str">
        <v>Montería</v>
      </c>
      <c r="Y2" t="str">
        <v>Agua de Dios</v>
      </c>
      <c r="Z2" t="str">
        <v>Inírida</v>
      </c>
      <c r="AA2" t="str">
        <v>San José del Guaviare</v>
      </c>
      <c r="AB2" t="str">
        <v>Neiva</v>
      </c>
      <c r="AC2" t="str">
        <v>Riohacha</v>
      </c>
      <c r="AD2" t="str">
        <v>Santa Marta</v>
      </c>
      <c r="AE2" t="str">
        <v>Villavicencio</v>
      </c>
      <c r="AF2" t="str">
        <v>Pasto</v>
      </c>
      <c r="AG2" t="str">
        <v>Cúcuta</v>
      </c>
      <c r="AH2" t="str">
        <v>Mocoa</v>
      </c>
      <c r="AI2" t="str">
        <v>Armenia</v>
      </c>
      <c r="AJ2" t="str">
        <v>Pereira</v>
      </c>
      <c r="AK2" t="str">
        <v>San Andrés</v>
      </c>
      <c r="AL2" t="str">
        <v>Bucaramanga</v>
      </c>
      <c r="AM2" t="str">
        <v>Sincelejo</v>
      </c>
      <c r="AN2" t="str">
        <v>Ibagué</v>
      </c>
      <c r="AO2" t="str">
        <v>Cali</v>
      </c>
      <c r="AP2" t="str">
        <v>Mitú</v>
      </c>
      <c r="AQ2" t="str">
        <v>Puerto Carreño</v>
      </c>
    </row>
    <row r="3" spans="2:43" x14ac:dyDescent="0.25">
      <c r="B3">
        <v>2</v>
      </c>
      <c r="C3" t="s">
        <v>52</v>
      </c>
      <c r="F3">
        <v>2</v>
      </c>
      <c r="G3" t="s">
        <v>84</v>
      </c>
      <c r="H3">
        <v>2</v>
      </c>
      <c r="K3" t="str">
        <v/>
      </c>
      <c r="L3" t="str">
        <v>El Encanto</v>
      </c>
      <c r="M3" t="str">
        <v>Abejorral</v>
      </c>
      <c r="N3" t="str">
        <v>Arauquita</v>
      </c>
      <c r="O3" t="str">
        <v>Baranoa</v>
      </c>
      <c r="P3" t="str">
        <v>Achí</v>
      </c>
      <c r="Q3" t="str">
        <v>Almeida</v>
      </c>
      <c r="R3" t="str">
        <v>Aguadas</v>
      </c>
      <c r="S3" t="str">
        <v>Albania</v>
      </c>
      <c r="T3" t="str">
        <v>Aguazul</v>
      </c>
      <c r="U3" t="str">
        <v>Almaguer</v>
      </c>
      <c r="V3" t="str">
        <v>Aguachica</v>
      </c>
      <c r="W3" t="str">
        <v>Acandí</v>
      </c>
      <c r="X3" t="str">
        <v>Ayapel</v>
      </c>
      <c r="Y3" t="str">
        <v>Albán</v>
      </c>
      <c r="Z3" t="str">
        <v>Barranco Minas</v>
      </c>
      <c r="AA3" t="str">
        <v>Calamar</v>
      </c>
      <c r="AB3" t="str">
        <v>Acevedo</v>
      </c>
      <c r="AC3" t="str">
        <v>Albania</v>
      </c>
      <c r="AD3" t="str">
        <v>Algarrobo</v>
      </c>
      <c r="AE3" t="str">
        <v>Acacías</v>
      </c>
      <c r="AF3" t="str">
        <v>San José de Albán</v>
      </c>
      <c r="AG3" t="str">
        <v>Ábrego</v>
      </c>
      <c r="AH3" t="str">
        <v>Colón</v>
      </c>
      <c r="AI3" t="str">
        <v>Buenavista</v>
      </c>
      <c r="AJ3" t="str">
        <v>Apía</v>
      </c>
      <c r="AK3" t="str">
        <v/>
      </c>
      <c r="AL3" t="str">
        <v>Aguada</v>
      </c>
      <c r="AM3" t="str">
        <v>Betulia</v>
      </c>
      <c r="AN3" t="str">
        <v>Alvarado</v>
      </c>
      <c r="AO3" t="str">
        <v>Alcalá</v>
      </c>
      <c r="AP3" t="str">
        <v>Carurú</v>
      </c>
      <c r="AQ3" t="str">
        <v>Cumaribo</v>
      </c>
    </row>
    <row r="4" spans="2:43" x14ac:dyDescent="0.25">
      <c r="B4">
        <v>3</v>
      </c>
      <c r="C4" t="s">
        <v>53</v>
      </c>
      <c r="F4">
        <v>3</v>
      </c>
      <c r="G4" t="s">
        <v>85</v>
      </c>
      <c r="H4">
        <v>2</v>
      </c>
      <c r="K4" t="str">
        <v/>
      </c>
      <c r="L4" t="str">
        <v>La Chorrera</v>
      </c>
      <c r="M4" t="str">
        <v>Abriaquí</v>
      </c>
      <c r="N4" t="str">
        <v>Cravo Norte</v>
      </c>
      <c r="O4" t="str">
        <v>Campo de la Cruz</v>
      </c>
      <c r="P4" t="str">
        <v>Altos del Rosario</v>
      </c>
      <c r="Q4" t="str">
        <v>Aquitania</v>
      </c>
      <c r="R4" t="str">
        <v>Anserma</v>
      </c>
      <c r="S4" t="str">
        <v>Belén de los Andaquíes</v>
      </c>
      <c r="T4" t="str">
        <v>Monterrey</v>
      </c>
      <c r="U4" t="str">
        <v>Argelia</v>
      </c>
      <c r="V4" t="str">
        <v>Astrea</v>
      </c>
      <c r="W4" t="str">
        <v>Alto Baudó</v>
      </c>
      <c r="X4" t="str">
        <v>Buenavista</v>
      </c>
      <c r="Y4" t="str">
        <v>Anapoima</v>
      </c>
      <c r="Z4" t="str">
        <v>Cacahual</v>
      </c>
      <c r="AA4" t="str">
        <v>El Retorno</v>
      </c>
      <c r="AB4" t="str">
        <v>Colombia</v>
      </c>
      <c r="AC4" t="str">
        <v>Barrancas</v>
      </c>
      <c r="AD4" t="str">
        <v>Aracataca</v>
      </c>
      <c r="AE4" t="str">
        <v>Barranca de Upía</v>
      </c>
      <c r="AF4" t="str">
        <v>Aldana</v>
      </c>
      <c r="AG4" t="str">
        <v>Arboledas</v>
      </c>
      <c r="AH4" t="str">
        <v>Puerto Asís</v>
      </c>
      <c r="AI4" t="str">
        <v>Calarcá</v>
      </c>
      <c r="AJ4" t="str">
        <v>Balboa</v>
      </c>
      <c r="AK4" t="str">
        <v/>
      </c>
      <c r="AL4" t="str">
        <v>Albania</v>
      </c>
      <c r="AM4" t="str">
        <v>Buenavista</v>
      </c>
      <c r="AN4" t="str">
        <v>Ambalema</v>
      </c>
      <c r="AO4" t="str">
        <v>Andalucía</v>
      </c>
      <c r="AP4" t="str">
        <v>Papunaua</v>
      </c>
      <c r="AQ4" t="str">
        <v>La Primavera</v>
      </c>
    </row>
    <row r="5" spans="2:43" x14ac:dyDescent="0.25">
      <c r="B5">
        <v>4</v>
      </c>
      <c r="C5" t="s">
        <v>54</v>
      </c>
      <c r="F5">
        <v>4</v>
      </c>
      <c r="G5" t="s">
        <v>86</v>
      </c>
      <c r="H5">
        <v>2</v>
      </c>
      <c r="K5" t="str">
        <v/>
      </c>
      <c r="L5" t="str">
        <v>La Pedrera</v>
      </c>
      <c r="M5" t="str">
        <v>Alejandría</v>
      </c>
      <c r="N5" t="str">
        <v>Fortul</v>
      </c>
      <c r="O5" t="str">
        <v>Candelaria</v>
      </c>
      <c r="P5" t="str">
        <v>Arjona</v>
      </c>
      <c r="Q5" t="str">
        <v>Arcabuco</v>
      </c>
      <c r="R5" t="str">
        <v>Aranzazu</v>
      </c>
      <c r="S5" t="str">
        <v>Cartagena del Chairá</v>
      </c>
      <c r="T5" t="str">
        <v>Nunchía</v>
      </c>
      <c r="U5" t="str">
        <v>Balboa</v>
      </c>
      <c r="V5" t="str">
        <v>Becerril</v>
      </c>
      <c r="W5" t="str">
        <v>El Atrato</v>
      </c>
      <c r="X5" t="str">
        <v>Canalete</v>
      </c>
      <c r="Y5" t="str">
        <v>Anolaima</v>
      </c>
      <c r="Z5" t="str">
        <v>La Guadalupe</v>
      </c>
      <c r="AA5" t="str">
        <v>Miraflores</v>
      </c>
      <c r="AB5" t="str">
        <v>Aipe</v>
      </c>
      <c r="AC5" t="str">
        <v>Dibulla</v>
      </c>
      <c r="AD5" t="str">
        <v>Ariguaní</v>
      </c>
      <c r="AE5" t="str">
        <v>Cabuyaro</v>
      </c>
      <c r="AF5" t="str">
        <v>Ancuya</v>
      </c>
      <c r="AG5" t="str">
        <v>Bochalema</v>
      </c>
      <c r="AH5" t="str">
        <v>Puerto Caicedo</v>
      </c>
      <c r="AI5" t="str">
        <v>Circasia</v>
      </c>
      <c r="AJ5" t="str">
        <v>Belén de Umbría</v>
      </c>
      <c r="AK5" t="str">
        <v/>
      </c>
      <c r="AL5" t="str">
        <v>Aratoca</v>
      </c>
      <c r="AM5" t="str">
        <v>Caimito</v>
      </c>
      <c r="AN5" t="str">
        <v>Estado Anzoátegui</v>
      </c>
      <c r="AO5" t="str">
        <v>Ansermanuevo</v>
      </c>
      <c r="AP5" t="str">
        <v>Taraira</v>
      </c>
      <c r="AQ5" t="str">
        <v>Santa Rosalía</v>
      </c>
    </row>
    <row r="6" spans="2:43" x14ac:dyDescent="0.25">
      <c r="B6">
        <v>5</v>
      </c>
      <c r="C6" t="s">
        <v>55</v>
      </c>
      <c r="F6">
        <v>5</v>
      </c>
      <c r="G6" t="s">
        <v>87</v>
      </c>
      <c r="H6">
        <v>2</v>
      </c>
      <c r="K6" t="str">
        <v/>
      </c>
      <c r="L6" t="str">
        <v>La Victoria</v>
      </c>
      <c r="M6" t="str">
        <v>Amagá</v>
      </c>
      <c r="N6" t="str">
        <v>Puerto Rondón</v>
      </c>
      <c r="O6" t="str">
        <v>Galapa</v>
      </c>
      <c r="P6" t="str">
        <v>Arenal</v>
      </c>
      <c r="Q6" t="str">
        <v>Belén</v>
      </c>
      <c r="R6" t="str">
        <v>Belalcázar</v>
      </c>
      <c r="S6" t="str">
        <v>Curillo</v>
      </c>
      <c r="T6" t="str">
        <v>Orocué</v>
      </c>
      <c r="U6" t="str">
        <v>Bolívar</v>
      </c>
      <c r="V6" t="str">
        <v>Bosconia</v>
      </c>
      <c r="W6" t="str">
        <v>Bagadó</v>
      </c>
      <c r="X6" t="str">
        <v>Cereté</v>
      </c>
      <c r="Y6" t="str">
        <v>Apulo</v>
      </c>
      <c r="Z6" t="str">
        <v>Mapiripán</v>
      </c>
      <c r="AA6" t="str">
        <v/>
      </c>
      <c r="AB6" t="str">
        <v>Algeciras</v>
      </c>
      <c r="AC6" t="str">
        <v>Distracción</v>
      </c>
      <c r="AD6" t="str">
        <v>Cerro de San Antonio</v>
      </c>
      <c r="AE6" t="str">
        <v>Castilla la Nueva</v>
      </c>
      <c r="AF6" t="str">
        <v>Arboleda</v>
      </c>
      <c r="AG6" t="str">
        <v>Bucarasica</v>
      </c>
      <c r="AH6" t="str">
        <v>Puerto Guzmán</v>
      </c>
      <c r="AI6" t="str">
        <v>Córdoba</v>
      </c>
      <c r="AJ6" t="str">
        <v>Dosquebradas</v>
      </c>
      <c r="AK6" t="str">
        <v/>
      </c>
      <c r="AL6" t="str">
        <v>Barbosa</v>
      </c>
      <c r="AM6" t="str">
        <v>Colosó</v>
      </c>
      <c r="AN6" t="str">
        <v>Ataco</v>
      </c>
      <c r="AO6" t="str">
        <v>Argelia</v>
      </c>
      <c r="AP6" t="str">
        <v>Yavaraté</v>
      </c>
      <c r="AQ6" t="str">
        <v/>
      </c>
    </row>
    <row r="7" spans="2:43" x14ac:dyDescent="0.25">
      <c r="B7">
        <v>6</v>
      </c>
      <c r="C7" t="s">
        <v>56</v>
      </c>
      <c r="F7">
        <v>6</v>
      </c>
      <c r="G7" t="s">
        <v>88</v>
      </c>
      <c r="H7">
        <v>2</v>
      </c>
      <c r="K7" t="str">
        <v/>
      </c>
      <c r="L7" t="str">
        <v>Mirití-Paraná</v>
      </c>
      <c r="M7" t="str">
        <v>Amalfi</v>
      </c>
      <c r="N7" t="str">
        <v>Saravena</v>
      </c>
      <c r="O7" t="str">
        <v>Juan de Acosta</v>
      </c>
      <c r="P7" t="str">
        <v>Arroyohondo</v>
      </c>
      <c r="Q7" t="str">
        <v>Berbeo</v>
      </c>
      <c r="R7" t="str">
        <v>Chinchiná</v>
      </c>
      <c r="S7" t="str">
        <v>El Doncello</v>
      </c>
      <c r="T7" t="str">
        <v>Paz de Ariporo</v>
      </c>
      <c r="U7" t="str">
        <v>Buenos Aires</v>
      </c>
      <c r="V7" t="str">
        <v>Chimichagua</v>
      </c>
      <c r="W7" t="str">
        <v>Bahía Solano</v>
      </c>
      <c r="X7" t="str">
        <v>Chimá</v>
      </c>
      <c r="Y7" t="str">
        <v>Arbeláez</v>
      </c>
      <c r="Z7" t="str">
        <v>Morichal Nuevo</v>
      </c>
      <c r="AA7" t="str">
        <v/>
      </c>
      <c r="AB7" t="str">
        <v>Altamira</v>
      </c>
      <c r="AC7" t="str">
        <v>El Molino</v>
      </c>
      <c r="AD7" t="str">
        <v>Chibolo</v>
      </c>
      <c r="AE7" t="str">
        <v>Cubarral</v>
      </c>
      <c r="AF7" t="str">
        <v>Barbacoas</v>
      </c>
      <c r="AG7" t="str">
        <v>Cácota</v>
      </c>
      <c r="AH7" t="str">
        <v>Puerto Leguízamo</v>
      </c>
      <c r="AI7" t="str">
        <v>Filandia</v>
      </c>
      <c r="AJ7" t="str">
        <v>Guática</v>
      </c>
      <c r="AK7" t="str">
        <v/>
      </c>
      <c r="AL7" t="str">
        <v>Barichara</v>
      </c>
      <c r="AM7" t="str">
        <v>Coveñas</v>
      </c>
      <c r="AN7" t="str">
        <v>Cajamarca</v>
      </c>
      <c r="AO7" t="str">
        <v>Bolívar</v>
      </c>
      <c r="AP7" t="str">
        <v/>
      </c>
      <c r="AQ7" t="str">
        <v/>
      </c>
    </row>
    <row r="8" spans="2:43" x14ac:dyDescent="0.25">
      <c r="B8">
        <v>7</v>
      </c>
      <c r="C8" t="s">
        <v>57</v>
      </c>
      <c r="F8">
        <v>7</v>
      </c>
      <c r="G8" t="s">
        <v>89</v>
      </c>
      <c r="H8">
        <v>2</v>
      </c>
      <c r="K8" t="str">
        <v/>
      </c>
      <c r="L8" t="str">
        <v>Puerto Alegría</v>
      </c>
      <c r="M8" t="str">
        <v>Andes</v>
      </c>
      <c r="N8" t="str">
        <v>Tame</v>
      </c>
      <c r="O8" t="str">
        <v>Luruaco</v>
      </c>
      <c r="P8" t="str">
        <v>Barranco de Loba</v>
      </c>
      <c r="Q8" t="str">
        <v>Betéitiva</v>
      </c>
      <c r="R8" t="str">
        <v>Filadelfia</v>
      </c>
      <c r="S8" t="str">
        <v>El Paujil</v>
      </c>
      <c r="T8" t="str">
        <v>Pore</v>
      </c>
      <c r="U8" t="str">
        <v>Cajibío</v>
      </c>
      <c r="V8" t="str">
        <v>Chiriguaná</v>
      </c>
      <c r="W8" t="str">
        <v>Bajo Baudó</v>
      </c>
      <c r="X8" t="str">
        <v>Chinú</v>
      </c>
      <c r="Y8" t="str">
        <v>Beltrán</v>
      </c>
      <c r="Z8" t="str">
        <v>Pana Pana</v>
      </c>
      <c r="AA8" t="str">
        <v/>
      </c>
      <c r="AB8" t="str">
        <v>Baraya</v>
      </c>
      <c r="AC8" t="str">
        <v>Fonseca</v>
      </c>
      <c r="AD8" t="str">
        <v>Ciénaga</v>
      </c>
      <c r="AE8" t="str">
        <v>Cumaral</v>
      </c>
      <c r="AF8" t="str">
        <v>Belén</v>
      </c>
      <c r="AG8" t="str">
        <v>Cáchira</v>
      </c>
      <c r="AH8" t="str">
        <v>Sibundoy</v>
      </c>
      <c r="AI8" t="str">
        <v>Génova</v>
      </c>
      <c r="AJ8" t="str">
        <v>La Celia</v>
      </c>
      <c r="AK8" t="str">
        <v/>
      </c>
      <c r="AL8" t="str">
        <v>Barrancabermeja</v>
      </c>
      <c r="AM8" t="str">
        <v>Chalán</v>
      </c>
      <c r="AN8" t="str">
        <v>Carmen de Apicalá</v>
      </c>
      <c r="AO8" t="str">
        <v>Buenaventura</v>
      </c>
      <c r="AP8" t="str">
        <v/>
      </c>
      <c r="AQ8" t="str">
        <v/>
      </c>
    </row>
    <row r="9" spans="2:43" x14ac:dyDescent="0.25">
      <c r="B9">
        <v>8</v>
      </c>
      <c r="C9" t="s">
        <v>58</v>
      </c>
      <c r="F9">
        <v>8</v>
      </c>
      <c r="G9" t="s">
        <v>90</v>
      </c>
      <c r="H9">
        <v>2</v>
      </c>
      <c r="K9" t="str">
        <v/>
      </c>
      <c r="L9" t="str">
        <v>Puerto Arica</v>
      </c>
      <c r="M9" t="str">
        <v>Angelópolis</v>
      </c>
      <c r="N9" t="str">
        <v/>
      </c>
      <c r="O9" t="str">
        <v>Malambo</v>
      </c>
      <c r="P9" t="str">
        <v>Calamar</v>
      </c>
      <c r="Q9" t="str">
        <v>Boavita</v>
      </c>
      <c r="R9" t="str">
        <v>La Dorada</v>
      </c>
      <c r="S9" t="str">
        <v>La Montañita</v>
      </c>
      <c r="T9" t="str">
        <v>Recetor</v>
      </c>
      <c r="U9" t="str">
        <v>Caldono</v>
      </c>
      <c r="V9" t="str">
        <v>Curumaní</v>
      </c>
      <c r="W9" t="str">
        <v>Bojayá</v>
      </c>
      <c r="X9" t="str">
        <v>Ciénaga de Oro</v>
      </c>
      <c r="Y9" t="str">
        <v>Bituima</v>
      </c>
      <c r="Z9" t="str">
        <v>Puerto Colombia</v>
      </c>
      <c r="AA9" t="str">
        <v/>
      </c>
      <c r="AB9" t="str">
        <v>Campoalegre</v>
      </c>
      <c r="AC9" t="str">
        <v>Hatonuevo</v>
      </c>
      <c r="AD9" t="str">
        <v>Concordia</v>
      </c>
      <c r="AE9" t="str">
        <v>El Calvario</v>
      </c>
      <c r="AF9" t="str">
        <v>Arboleda</v>
      </c>
      <c r="AG9" t="str">
        <v>Chinácota</v>
      </c>
      <c r="AH9" t="str">
        <v>Orito</v>
      </c>
      <c r="AI9" t="str">
        <v>La Tebaida</v>
      </c>
      <c r="AJ9" t="str">
        <v>La Virginia</v>
      </c>
      <c r="AK9" t="str">
        <v/>
      </c>
      <c r="AL9" t="str">
        <v>Betulia</v>
      </c>
      <c r="AM9" t="str">
        <v>Corozal</v>
      </c>
      <c r="AN9" t="str">
        <v>Casabianca</v>
      </c>
      <c r="AO9" t="str">
        <v>Buga</v>
      </c>
      <c r="AP9" t="str">
        <v/>
      </c>
      <c r="AQ9" t="str">
        <v/>
      </c>
    </row>
    <row r="10" spans="2:43" x14ac:dyDescent="0.25">
      <c r="B10">
        <v>9</v>
      </c>
      <c r="C10" t="s">
        <v>59</v>
      </c>
      <c r="F10">
        <v>9</v>
      </c>
      <c r="G10" t="s">
        <v>91</v>
      </c>
      <c r="H10">
        <v>2</v>
      </c>
      <c r="K10" t="str">
        <v/>
      </c>
      <c r="L10" t="str">
        <v>Puerto Nariño</v>
      </c>
      <c r="M10" t="str">
        <v>Angostura</v>
      </c>
      <c r="N10" t="str">
        <v/>
      </c>
      <c r="O10" t="str">
        <v>Manatí</v>
      </c>
      <c r="P10" t="str">
        <v>Cantagallo</v>
      </c>
      <c r="Q10" t="str">
        <v>Boyacá</v>
      </c>
      <c r="R10" t="str">
        <v>La Merced</v>
      </c>
      <c r="S10" t="str">
        <v>Milán</v>
      </c>
      <c r="T10" t="str">
        <v>Sabanalarga</v>
      </c>
      <c r="U10" t="str">
        <v>Caloto</v>
      </c>
      <c r="V10" t="str">
        <v>El Copey</v>
      </c>
      <c r="W10" t="str">
        <v>Carmen del Darién</v>
      </c>
      <c r="X10" t="str">
        <v>Cotorra</v>
      </c>
      <c r="Y10" t="str">
        <v>Bojacá</v>
      </c>
      <c r="Z10" t="str">
        <v>San Felipe</v>
      </c>
      <c r="AA10" t="str">
        <v/>
      </c>
      <c r="AB10" t="str">
        <v>Colombia</v>
      </c>
      <c r="AC10" t="str">
        <v>La Jagua del Pilar</v>
      </c>
      <c r="AD10" t="str">
        <v>El Banco</v>
      </c>
      <c r="AE10" t="str">
        <v>El Castillo</v>
      </c>
      <c r="AF10" t="str">
        <v>Buesaco</v>
      </c>
      <c r="AG10" t="str">
        <v>Chitagá</v>
      </c>
      <c r="AH10" t="str">
        <v>San Francisco</v>
      </c>
      <c r="AI10" t="str">
        <v>Montenegro</v>
      </c>
      <c r="AJ10" t="str">
        <v>Marsella</v>
      </c>
      <c r="AK10" t="str">
        <v/>
      </c>
      <c r="AL10" t="str">
        <v>Bolívar</v>
      </c>
      <c r="AM10" t="str">
        <v>El Roble</v>
      </c>
      <c r="AN10" t="str">
        <v>Chaparral</v>
      </c>
      <c r="AO10" t="str">
        <v>Bugalagrande</v>
      </c>
      <c r="AP10" t="str">
        <v/>
      </c>
      <c r="AQ10" t="str">
        <v/>
      </c>
    </row>
    <row r="11" spans="2:43" x14ac:dyDescent="0.25">
      <c r="B11">
        <v>10</v>
      </c>
      <c r="C11" t="s">
        <v>60</v>
      </c>
      <c r="F11">
        <v>10</v>
      </c>
      <c r="G11" t="s">
        <v>92</v>
      </c>
      <c r="H11">
        <v>2</v>
      </c>
      <c r="K11" t="str">
        <v/>
      </c>
      <c r="L11" t="str">
        <v>Puerto Santander</v>
      </c>
      <c r="M11" t="str">
        <v>Anorí</v>
      </c>
      <c r="N11" t="str">
        <v/>
      </c>
      <c r="O11" t="str">
        <v>Palmar de Varela</v>
      </c>
      <c r="P11" t="str">
        <v>El Carmen de Bolívar</v>
      </c>
      <c r="Q11" t="str">
        <v>Briceño</v>
      </c>
      <c r="R11" t="str">
        <v>La Victoria</v>
      </c>
      <c r="S11" t="str">
        <v>Morelia</v>
      </c>
      <c r="T11" t="str">
        <v>Sácama</v>
      </c>
      <c r="U11" t="str">
        <v>Corinto</v>
      </c>
      <c r="V11" t="str">
        <v>El Paso</v>
      </c>
      <c r="W11" t="str">
        <v>Cértegui</v>
      </c>
      <c r="X11" t="str">
        <v>La Apartada</v>
      </c>
      <c r="Y11" t="str">
        <v>Cabrera</v>
      </c>
      <c r="Z11" t="str">
        <v/>
      </c>
      <c r="AA11" t="str">
        <v/>
      </c>
      <c r="AB11" t="str">
        <v>Guadalupe</v>
      </c>
      <c r="AC11" t="str">
        <v>Maicao</v>
      </c>
      <c r="AD11" t="str">
        <v>El Piñón</v>
      </c>
      <c r="AE11" t="str">
        <v>El Dorado</v>
      </c>
      <c r="AF11" t="str">
        <v>Chachagüí</v>
      </c>
      <c r="AG11" t="str">
        <v>Convención</v>
      </c>
      <c r="AH11" t="str">
        <v>San Miguel</v>
      </c>
      <c r="AI11" t="str">
        <v>Pijao</v>
      </c>
      <c r="AJ11" t="str">
        <v>Mistrató</v>
      </c>
      <c r="AK11" t="str">
        <v/>
      </c>
      <c r="AL11" t="str">
        <v>Cabrera</v>
      </c>
      <c r="AM11" t="str">
        <v>Galeras</v>
      </c>
      <c r="AN11" t="str">
        <v>Coello</v>
      </c>
      <c r="AO11" t="str">
        <v>Caicedonia</v>
      </c>
      <c r="AP11" t="str">
        <v/>
      </c>
      <c r="AQ11" t="str">
        <v/>
      </c>
    </row>
    <row r="12" spans="2:43" x14ac:dyDescent="0.25">
      <c r="B12">
        <v>11</v>
      </c>
      <c r="C12" t="s">
        <v>61</v>
      </c>
      <c r="F12">
        <v>11</v>
      </c>
      <c r="G12" t="s">
        <v>44</v>
      </c>
      <c r="H12">
        <v>2</v>
      </c>
      <c r="K12" t="str">
        <v/>
      </c>
      <c r="L12" t="str">
        <v>Tarapacá</v>
      </c>
      <c r="M12" t="str">
        <v>Santa Fe de Antioquia</v>
      </c>
      <c r="N12" t="str">
        <v/>
      </c>
      <c r="O12" t="str">
        <v>Piojó</v>
      </c>
      <c r="P12" t="str">
        <v>Cicuco</v>
      </c>
      <c r="Q12" t="str">
        <v>Buenavista</v>
      </c>
      <c r="R12" t="str">
        <v>Manzanares</v>
      </c>
      <c r="S12" t="str">
        <v>Puerto Rico</v>
      </c>
      <c r="T12" t="str">
        <v>San Luis de Palenque</v>
      </c>
      <c r="U12" t="str">
        <v>El Tambo</v>
      </c>
      <c r="V12" t="str">
        <v>Gamarra</v>
      </c>
      <c r="W12" t="str">
        <v>Condoto</v>
      </c>
      <c r="X12" t="str">
        <v>Santa Cruz de Lorica</v>
      </c>
      <c r="Y12" t="str">
        <v>Cachipay</v>
      </c>
      <c r="Z12" t="str">
        <v/>
      </c>
      <c r="AA12" t="str">
        <v/>
      </c>
      <c r="AB12" t="str">
        <v>Garzón</v>
      </c>
      <c r="AC12" t="str">
        <v>Manaure</v>
      </c>
      <c r="AD12" t="str">
        <v>El Retén</v>
      </c>
      <c r="AE12" t="str">
        <v>Fuente de Oro</v>
      </c>
      <c r="AF12" t="str">
        <v>Colón</v>
      </c>
      <c r="AG12" t="str">
        <v>Cundinamarca</v>
      </c>
      <c r="AH12" t="str">
        <v>Santiago de Chile</v>
      </c>
      <c r="AI12" t="str">
        <v>Quimbaya</v>
      </c>
      <c r="AJ12" t="str">
        <v>Pueblo Rico</v>
      </c>
      <c r="AK12" t="str">
        <v/>
      </c>
      <c r="AL12" t="str">
        <v>California</v>
      </c>
      <c r="AM12" t="str">
        <v>Guaranda</v>
      </c>
      <c r="AN12" t="str">
        <v>Coyaima</v>
      </c>
      <c r="AO12" t="str">
        <v>Calima</v>
      </c>
      <c r="AP12" t="str">
        <v/>
      </c>
      <c r="AQ12" t="str">
        <v/>
      </c>
    </row>
    <row r="13" spans="2:43" x14ac:dyDescent="0.25">
      <c r="B13">
        <v>12</v>
      </c>
      <c r="C13" t="s">
        <v>62</v>
      </c>
      <c r="F13">
        <v>12</v>
      </c>
      <c r="G13" t="s">
        <v>49</v>
      </c>
      <c r="H13">
        <v>2</v>
      </c>
      <c r="K13" t="str">
        <v/>
      </c>
      <c r="L13" t="str">
        <v/>
      </c>
      <c r="M13" t="str">
        <v>Anzá</v>
      </c>
      <c r="N13" t="str">
        <v/>
      </c>
      <c r="O13" t="str">
        <v>Polonuevo</v>
      </c>
      <c r="P13" t="str">
        <v>Clemencia</v>
      </c>
      <c r="Q13" t="str">
        <v>Busbanzá</v>
      </c>
      <c r="R13" t="str">
        <v>Marmato</v>
      </c>
      <c r="S13" t="str">
        <v>San José del Fragua</v>
      </c>
      <c r="T13" t="str">
        <v>Támara</v>
      </c>
      <c r="U13" t="str">
        <v>Florencia</v>
      </c>
      <c r="V13" t="str">
        <v>La Gloria</v>
      </c>
      <c r="W13" t="str">
        <v>Cantón de San Pablo</v>
      </c>
      <c r="X13" t="str">
        <v>Los Córdobas</v>
      </c>
      <c r="Y13" t="str">
        <v>Cajicá</v>
      </c>
      <c r="Z13" t="str">
        <v/>
      </c>
      <c r="AA13" t="str">
        <v/>
      </c>
      <c r="AB13" t="str">
        <v>Gigante</v>
      </c>
      <c r="AC13" t="str">
        <v>San Juan del Cesar</v>
      </c>
      <c r="AD13" t="str">
        <v>Fundación</v>
      </c>
      <c r="AE13" t="str">
        <v>Granada</v>
      </c>
      <c r="AF13" t="str">
        <v>Consacá</v>
      </c>
      <c r="AG13" t="str">
        <v>Durania</v>
      </c>
      <c r="AH13" t="str">
        <v>Villagarzón</v>
      </c>
      <c r="AI13" t="str">
        <v>Salento</v>
      </c>
      <c r="AJ13" t="str">
        <v>Quinchía</v>
      </c>
      <c r="AK13" t="str">
        <v/>
      </c>
      <c r="AL13" t="str">
        <v>Capitanejo</v>
      </c>
      <c r="AM13" t="str">
        <v>La Unión</v>
      </c>
      <c r="AN13" t="str">
        <v>Cunday</v>
      </c>
      <c r="AO13" t="str">
        <v>Candelaria</v>
      </c>
      <c r="AP13" t="str">
        <v/>
      </c>
      <c r="AQ13" t="str">
        <v/>
      </c>
    </row>
    <row r="14" spans="2:43" x14ac:dyDescent="0.25">
      <c r="B14">
        <v>13</v>
      </c>
      <c r="C14" t="s">
        <v>63</v>
      </c>
      <c r="F14">
        <v>13</v>
      </c>
      <c r="G14" t="s">
        <v>93</v>
      </c>
      <c r="H14">
        <v>3</v>
      </c>
      <c r="K14" t="str">
        <v/>
      </c>
      <c r="L14" t="str">
        <v/>
      </c>
      <c r="M14" t="str">
        <v>Apartadó</v>
      </c>
      <c r="N14" t="str">
        <v/>
      </c>
      <c r="O14" t="str">
        <v>Ponedera</v>
      </c>
      <c r="P14" t="str">
        <v>Córdoba</v>
      </c>
      <c r="Q14" t="str">
        <v>Caldas</v>
      </c>
      <c r="R14" t="str">
        <v>Marquetalia</v>
      </c>
      <c r="S14" t="str">
        <v>San Vicente del Caguán</v>
      </c>
      <c r="T14" t="str">
        <v>Tauramena</v>
      </c>
      <c r="U14" t="str">
        <v>Guachené</v>
      </c>
      <c r="V14" t="str">
        <v>La Jagua de Ibirico</v>
      </c>
      <c r="W14" t="str">
        <v>El Carmen de Atrato</v>
      </c>
      <c r="X14" t="str">
        <v>Momil</v>
      </c>
      <c r="Y14" t="str">
        <v>Caparrapí</v>
      </c>
      <c r="Z14" t="str">
        <v/>
      </c>
      <c r="AA14" t="str">
        <v/>
      </c>
      <c r="AB14" t="str">
        <v>Hobo</v>
      </c>
      <c r="AC14" t="str">
        <v>Uribia</v>
      </c>
      <c r="AD14" t="str">
        <v>Guamal</v>
      </c>
      <c r="AE14" t="str">
        <v>Guamal</v>
      </c>
      <c r="AF14" t="str">
        <v>Contadero</v>
      </c>
      <c r="AG14" t="str">
        <v>El Carmen</v>
      </c>
      <c r="AH14" t="str">
        <v/>
      </c>
      <c r="AI14" t="str">
        <v/>
      </c>
      <c r="AJ14" t="str">
        <v>Santa Rosa de Cabal</v>
      </c>
      <c r="AK14" t="str">
        <v/>
      </c>
      <c r="AL14" t="str">
        <v>Carcasí</v>
      </c>
      <c r="AM14" t="str">
        <v>Los Palmitos</v>
      </c>
      <c r="AN14" t="str">
        <v>Dolores</v>
      </c>
      <c r="AO14" t="str">
        <v>Cartago</v>
      </c>
      <c r="AP14" t="str">
        <v/>
      </c>
      <c r="AQ14" t="str">
        <v/>
      </c>
    </row>
    <row r="15" spans="2:43" x14ac:dyDescent="0.25">
      <c r="B15">
        <v>14</v>
      </c>
      <c r="C15" t="s">
        <v>64</v>
      </c>
      <c r="F15">
        <v>14</v>
      </c>
      <c r="G15" t="s">
        <v>94</v>
      </c>
      <c r="H15">
        <v>3</v>
      </c>
      <c r="K15" t="str">
        <v/>
      </c>
      <c r="L15" t="str">
        <v/>
      </c>
      <c r="M15" t="str">
        <v>Arboletes</v>
      </c>
      <c r="N15" t="str">
        <v/>
      </c>
      <c r="O15" t="str">
        <v>Puerto Colombia</v>
      </c>
      <c r="P15" t="str">
        <v>El Guamo</v>
      </c>
      <c r="Q15" t="str">
        <v>Campohermoso</v>
      </c>
      <c r="R15" t="str">
        <v>Marulanda</v>
      </c>
      <c r="S15" t="str">
        <v>Solano</v>
      </c>
      <c r="T15" t="str">
        <v>Trinidad</v>
      </c>
      <c r="U15" t="str">
        <v>Guapi</v>
      </c>
      <c r="V15" t="str">
        <v>Manaure Balcón del Cesar</v>
      </c>
      <c r="W15" t="str">
        <v>Litoral del San Juan</v>
      </c>
      <c r="X15" t="str">
        <v>Montelíbano</v>
      </c>
      <c r="Y15" t="str">
        <v>Cáqueza</v>
      </c>
      <c r="Z15" t="str">
        <v/>
      </c>
      <c r="AA15" t="str">
        <v/>
      </c>
      <c r="AB15" t="str">
        <v>Íquira</v>
      </c>
      <c r="AC15" t="str">
        <v>Urumita</v>
      </c>
      <c r="AD15" t="str">
        <v>Nueva Granada</v>
      </c>
      <c r="AE15" t="str">
        <v>Mapiripán</v>
      </c>
      <c r="AF15" t="str">
        <v>Córdoba</v>
      </c>
      <c r="AG15" t="str">
        <v>El Tarra</v>
      </c>
      <c r="AH15" t="str">
        <v/>
      </c>
      <c r="AI15" t="str">
        <v/>
      </c>
      <c r="AJ15" t="str">
        <v>Santuario</v>
      </c>
      <c r="AK15" t="str">
        <v/>
      </c>
      <c r="AL15" t="str">
        <v>Cepitá</v>
      </c>
      <c r="AM15" t="str">
        <v>Majagual</v>
      </c>
      <c r="AN15" t="str">
        <v>El Espinal</v>
      </c>
      <c r="AO15" t="str">
        <v>Dagua</v>
      </c>
      <c r="AP15" t="str">
        <v/>
      </c>
      <c r="AQ15" t="str">
        <v/>
      </c>
    </row>
    <row r="16" spans="2:43" x14ac:dyDescent="0.25">
      <c r="B16">
        <v>15</v>
      </c>
      <c r="C16" t="s">
        <v>65</v>
      </c>
      <c r="F16">
        <v>15</v>
      </c>
      <c r="G16" t="s">
        <v>95</v>
      </c>
      <c r="H16">
        <v>3</v>
      </c>
      <c r="K16" t="str">
        <v/>
      </c>
      <c r="L16" t="str">
        <v/>
      </c>
      <c r="M16" t="str">
        <v>Argelia</v>
      </c>
      <c r="N16" t="str">
        <v/>
      </c>
      <c r="O16" t="str">
        <v>Repelón</v>
      </c>
      <c r="P16" t="str">
        <v>El Peñón</v>
      </c>
      <c r="Q16" t="str">
        <v>Cerinza</v>
      </c>
      <c r="R16" t="str">
        <v>Neira</v>
      </c>
      <c r="S16" t="str">
        <v>Solita</v>
      </c>
      <c r="T16" t="str">
        <v>Villanueva</v>
      </c>
      <c r="U16" t="str">
        <v>Inzá</v>
      </c>
      <c r="V16" t="str">
        <v>Pailitas</v>
      </c>
      <c r="W16" t="str">
        <v>Istmina</v>
      </c>
      <c r="X16" t="str">
        <v>Moñitos</v>
      </c>
      <c r="Y16" t="str">
        <v>Carmen de Carupa</v>
      </c>
      <c r="Z16" t="str">
        <v/>
      </c>
      <c r="AA16" t="str">
        <v/>
      </c>
      <c r="AB16" t="str">
        <v>Isnos</v>
      </c>
      <c r="AC16" t="str">
        <v>Villanueva</v>
      </c>
      <c r="AD16" t="str">
        <v>Pedraza</v>
      </c>
      <c r="AE16" t="str">
        <v>Mesetas</v>
      </c>
      <c r="AF16" t="str">
        <v>Cuaspud</v>
      </c>
      <c r="AG16" t="str">
        <v>El Zulia</v>
      </c>
      <c r="AH16" t="str">
        <v/>
      </c>
      <c r="AI16" t="str">
        <v/>
      </c>
      <c r="AJ16" t="str">
        <v/>
      </c>
      <c r="AK16" t="str">
        <v/>
      </c>
      <c r="AL16" t="str">
        <v>Cerrito</v>
      </c>
      <c r="AM16" t="str">
        <v>Morroa</v>
      </c>
      <c r="AN16" t="str">
        <v>Falan</v>
      </c>
      <c r="AO16" t="str">
        <v>El Águila</v>
      </c>
      <c r="AP16" t="str">
        <v/>
      </c>
      <c r="AQ16" t="str">
        <v/>
      </c>
    </row>
    <row r="17" spans="2:43" x14ac:dyDescent="0.25">
      <c r="B17">
        <v>16</v>
      </c>
      <c r="C17" t="s">
        <v>66</v>
      </c>
      <c r="F17">
        <v>16</v>
      </c>
      <c r="G17" t="s">
        <v>96</v>
      </c>
      <c r="H17">
        <v>3</v>
      </c>
      <c r="K17" t="str">
        <v/>
      </c>
      <c r="L17" t="str">
        <v/>
      </c>
      <c r="M17" t="str">
        <v>Armenia</v>
      </c>
      <c r="N17" t="str">
        <v/>
      </c>
      <c r="O17" t="str">
        <v>Sabanagrande</v>
      </c>
      <c r="P17" t="str">
        <v>Hatillo de Loba</v>
      </c>
      <c r="Q17" t="str">
        <v>Chinavita</v>
      </c>
      <c r="R17" t="str">
        <v>Norcasia</v>
      </c>
      <c r="S17" t="str">
        <v>Valparaíso</v>
      </c>
      <c r="T17" t="str">
        <v/>
      </c>
      <c r="U17" t="str">
        <v>Jambaló</v>
      </c>
      <c r="V17" t="str">
        <v>Pelaya</v>
      </c>
      <c r="W17" t="str">
        <v>Juradó</v>
      </c>
      <c r="X17" t="str">
        <v>Planeta Rica</v>
      </c>
      <c r="Y17" t="str">
        <v>Chaguaní</v>
      </c>
      <c r="Z17" t="str">
        <v/>
      </c>
      <c r="AA17" t="str">
        <v/>
      </c>
      <c r="AB17" t="str">
        <v>La Argentina</v>
      </c>
      <c r="AC17" t="str">
        <v/>
      </c>
      <c r="AD17" t="str">
        <v>Santa Bárbara de Pinto</v>
      </c>
      <c r="AE17" t="str">
        <v>La Macarena</v>
      </c>
      <c r="AF17" t="str">
        <v>Cumbal</v>
      </c>
      <c r="AG17" t="str">
        <v>Gramalote</v>
      </c>
      <c r="AH17" t="str">
        <v/>
      </c>
      <c r="AI17" t="str">
        <v/>
      </c>
      <c r="AJ17" t="str">
        <v/>
      </c>
      <c r="AK17" t="str">
        <v/>
      </c>
      <c r="AL17" t="str">
        <v>Charalá</v>
      </c>
      <c r="AM17" t="str">
        <v>Ovejas</v>
      </c>
      <c r="AN17" t="str">
        <v>Flandes</v>
      </c>
      <c r="AO17" t="str">
        <v>El Cairo</v>
      </c>
      <c r="AP17" t="str">
        <v/>
      </c>
      <c r="AQ17" t="str">
        <v/>
      </c>
    </row>
    <row r="18" spans="2:43" x14ac:dyDescent="0.25">
      <c r="B18">
        <v>17</v>
      </c>
      <c r="C18" t="s">
        <v>67</v>
      </c>
      <c r="F18">
        <v>17</v>
      </c>
      <c r="G18" t="s">
        <v>97</v>
      </c>
      <c r="H18">
        <v>3</v>
      </c>
      <c r="K18" t="str">
        <v/>
      </c>
      <c r="L18" t="str">
        <v/>
      </c>
      <c r="M18" t="str">
        <v>Barbosa</v>
      </c>
      <c r="N18" t="str">
        <v/>
      </c>
      <c r="O18" t="str">
        <v>Sabanalarga</v>
      </c>
      <c r="P18" t="str">
        <v>Magangué</v>
      </c>
      <c r="Q18" t="str">
        <v>Chiquinquirá</v>
      </c>
      <c r="R18" t="str">
        <v>Pácora</v>
      </c>
      <c r="S18" t="str">
        <v/>
      </c>
      <c r="T18" t="str">
        <v/>
      </c>
      <c r="U18" t="str">
        <v>La Sierra</v>
      </c>
      <c r="V18" t="str">
        <v>Pueblo Bello</v>
      </c>
      <c r="W18" t="str">
        <v>Lloró</v>
      </c>
      <c r="X18" t="str">
        <v>Pueblo Nuevo</v>
      </c>
      <c r="Y18" t="str">
        <v>Chía</v>
      </c>
      <c r="Z18" t="str">
        <v/>
      </c>
      <c r="AA18" t="str">
        <v/>
      </c>
      <c r="AB18" t="str">
        <v>La Plata</v>
      </c>
      <c r="AC18" t="str">
        <v/>
      </c>
      <c r="AD18" t="str">
        <v>Pivijay</v>
      </c>
      <c r="AE18" t="str">
        <v>Uribe</v>
      </c>
      <c r="AF18" t="str">
        <v>Cumbitara</v>
      </c>
      <c r="AG18" t="str">
        <v>Hacarí</v>
      </c>
      <c r="AH18" t="str">
        <v/>
      </c>
      <c r="AI18" t="str">
        <v/>
      </c>
      <c r="AJ18" t="str">
        <v/>
      </c>
      <c r="AK18" t="str">
        <v/>
      </c>
      <c r="AL18" t="str">
        <v>Charta</v>
      </c>
      <c r="AM18" t="str">
        <v>San Antonio de Palmito</v>
      </c>
      <c r="AN18" t="str">
        <v>Fresno</v>
      </c>
      <c r="AO18" t="str">
        <v>El Cerrito</v>
      </c>
      <c r="AP18" t="str">
        <v/>
      </c>
      <c r="AQ18" t="str">
        <v/>
      </c>
    </row>
    <row r="19" spans="2:43" x14ac:dyDescent="0.25">
      <c r="B19">
        <v>18</v>
      </c>
      <c r="C19" t="s">
        <v>68</v>
      </c>
      <c r="F19">
        <v>18</v>
      </c>
      <c r="G19" t="s">
        <v>98</v>
      </c>
      <c r="H19">
        <v>3</v>
      </c>
      <c r="K19" t="str">
        <v/>
      </c>
      <c r="L19" t="str">
        <v/>
      </c>
      <c r="M19" t="str">
        <v>Bello</v>
      </c>
      <c r="N19" t="str">
        <v/>
      </c>
      <c r="O19" t="str">
        <v>Santa Lucía</v>
      </c>
      <c r="P19" t="str">
        <v>Mahates</v>
      </c>
      <c r="Q19" t="str">
        <v>Chiscas</v>
      </c>
      <c r="R19" t="str">
        <v>Palestina</v>
      </c>
      <c r="S19" t="str">
        <v/>
      </c>
      <c r="T19" t="str">
        <v/>
      </c>
      <c r="U19" t="str">
        <v>La Vega</v>
      </c>
      <c r="V19" t="str">
        <v>Río de Oro</v>
      </c>
      <c r="W19" t="str">
        <v>Medio Atrato</v>
      </c>
      <c r="X19" t="str">
        <v>Puerto Escondido</v>
      </c>
      <c r="Y19" t="str">
        <v>Chipaque</v>
      </c>
      <c r="Z19" t="str">
        <v/>
      </c>
      <c r="AA19" t="str">
        <v/>
      </c>
      <c r="AB19" t="str">
        <v>Nátaga</v>
      </c>
      <c r="AC19" t="str">
        <v/>
      </c>
      <c r="AD19" t="str">
        <v>Plato</v>
      </c>
      <c r="AE19" t="str">
        <v>Lejanías</v>
      </c>
      <c r="AF19" t="str">
        <v>El Charco</v>
      </c>
      <c r="AG19" t="str">
        <v>Herrán</v>
      </c>
      <c r="AH19" t="str">
        <v/>
      </c>
      <c r="AI19" t="str">
        <v/>
      </c>
      <c r="AJ19" t="str">
        <v/>
      </c>
      <c r="AK19" t="str">
        <v/>
      </c>
      <c r="AL19" t="str">
        <v>Chimá</v>
      </c>
      <c r="AM19" t="str">
        <v>Sampués</v>
      </c>
      <c r="AN19" t="str">
        <v>Guamo</v>
      </c>
      <c r="AO19" t="str">
        <v>El Dovio</v>
      </c>
      <c r="AP19" t="str">
        <v/>
      </c>
      <c r="AQ19" t="str">
        <v/>
      </c>
    </row>
    <row r="20" spans="2:43" x14ac:dyDescent="0.25">
      <c r="B20">
        <v>19</v>
      </c>
      <c r="C20" t="s">
        <v>69</v>
      </c>
      <c r="F20">
        <v>19</v>
      </c>
      <c r="G20" t="s">
        <v>99</v>
      </c>
      <c r="H20">
        <v>3</v>
      </c>
      <c r="K20" t="str">
        <v/>
      </c>
      <c r="L20" t="str">
        <v/>
      </c>
      <c r="M20" t="str">
        <v>Belmira</v>
      </c>
      <c r="N20" t="str">
        <v/>
      </c>
      <c r="O20" t="str">
        <v>Santo Tomás</v>
      </c>
      <c r="P20" t="str">
        <v>Margarita</v>
      </c>
      <c r="Q20" t="str">
        <v>Chita</v>
      </c>
      <c r="R20" t="str">
        <v>Pensilvania</v>
      </c>
      <c r="S20" t="str">
        <v/>
      </c>
      <c r="T20" t="str">
        <v/>
      </c>
      <c r="U20" t="str">
        <v>López de Micay</v>
      </c>
      <c r="V20" t="str">
        <v>San Alberto</v>
      </c>
      <c r="W20" t="str">
        <v>Medio Baudó</v>
      </c>
      <c r="X20" t="str">
        <v>Puerto Libertador</v>
      </c>
      <c r="Y20" t="str">
        <v>Choachí</v>
      </c>
      <c r="Z20" t="str">
        <v/>
      </c>
      <c r="AA20" t="str">
        <v/>
      </c>
      <c r="AB20" t="str">
        <v>Oporapa</v>
      </c>
      <c r="AC20" t="str">
        <v/>
      </c>
      <c r="AD20" t="str">
        <v>Puebloviejo</v>
      </c>
      <c r="AE20" t="str">
        <v>Puerto Concordia</v>
      </c>
      <c r="AF20" t="str">
        <v>El Peñol</v>
      </c>
      <c r="AG20" t="str">
        <v>La Esperanza</v>
      </c>
      <c r="AH20" t="str">
        <v/>
      </c>
      <c r="AI20" t="str">
        <v/>
      </c>
      <c r="AJ20" t="str">
        <v/>
      </c>
      <c r="AK20" t="str">
        <v/>
      </c>
      <c r="AL20" t="str">
        <v>Chipatá</v>
      </c>
      <c r="AM20" t="str">
        <v>San Benito Abad</v>
      </c>
      <c r="AN20" t="str">
        <v>Herveo</v>
      </c>
      <c r="AO20" t="str">
        <v>Florida</v>
      </c>
      <c r="AP20" t="str">
        <v/>
      </c>
      <c r="AQ20" t="str">
        <v/>
      </c>
    </row>
    <row r="21" spans="2:43" x14ac:dyDescent="0.25">
      <c r="B21">
        <v>20</v>
      </c>
      <c r="C21" t="s">
        <v>70</v>
      </c>
      <c r="F21">
        <v>20</v>
      </c>
      <c r="G21" t="s">
        <v>100</v>
      </c>
      <c r="H21">
        <v>3</v>
      </c>
      <c r="K21" t="str">
        <v/>
      </c>
      <c r="L21" t="str">
        <v/>
      </c>
      <c r="M21" t="str">
        <v>Betania</v>
      </c>
      <c r="N21" t="str">
        <v/>
      </c>
      <c r="O21" t="str">
        <v>Soledad</v>
      </c>
      <c r="P21" t="str">
        <v>María La Baja</v>
      </c>
      <c r="Q21" t="str">
        <v>Chitaraque</v>
      </c>
      <c r="R21" t="str">
        <v>Riosucio</v>
      </c>
      <c r="S21" t="str">
        <v/>
      </c>
      <c r="T21" t="str">
        <v/>
      </c>
      <c r="U21" t="str">
        <v>Mercaderes</v>
      </c>
      <c r="V21" t="str">
        <v>San Diego</v>
      </c>
      <c r="W21" t="str">
        <v>Medio San Juan</v>
      </c>
      <c r="X21" t="str">
        <v>Purísima</v>
      </c>
      <c r="Y21" t="str">
        <v>Chocontá</v>
      </c>
      <c r="Z21" t="str">
        <v/>
      </c>
      <c r="AA21" t="str">
        <v/>
      </c>
      <c r="AB21" t="str">
        <v>Paicol</v>
      </c>
      <c r="AC21" t="str">
        <v/>
      </c>
      <c r="AD21" t="str">
        <v>Remolino</v>
      </c>
      <c r="AE21" t="str">
        <v>Puerto Gaitán</v>
      </c>
      <c r="AF21" t="str">
        <v>El Rosario</v>
      </c>
      <c r="AG21" t="str">
        <v>La Playa de Belén</v>
      </c>
      <c r="AH21" t="str">
        <v/>
      </c>
      <c r="AI21" t="str">
        <v/>
      </c>
      <c r="AJ21" t="str">
        <v/>
      </c>
      <c r="AK21" t="str">
        <v/>
      </c>
      <c r="AL21" t="str">
        <v>Cimitarra</v>
      </c>
      <c r="AM21" t="str">
        <v>San Juan de Betulia</v>
      </c>
      <c r="AN21" t="str">
        <v>Honda</v>
      </c>
      <c r="AO21" t="str">
        <v>Ginebra</v>
      </c>
      <c r="AP21" t="str">
        <v/>
      </c>
      <c r="AQ21" t="str">
        <v/>
      </c>
    </row>
    <row r="22" spans="2:43" x14ac:dyDescent="0.25">
      <c r="B22">
        <v>21</v>
      </c>
      <c r="C22" t="s">
        <v>71</v>
      </c>
      <c r="F22">
        <v>21</v>
      </c>
      <c r="G22" t="s">
        <v>101</v>
      </c>
      <c r="H22">
        <v>3</v>
      </c>
      <c r="K22" t="str">
        <v/>
      </c>
      <c r="L22" t="str">
        <v/>
      </c>
      <c r="M22" t="str">
        <v>Betulia</v>
      </c>
      <c r="N22" t="str">
        <v/>
      </c>
      <c r="O22" t="str">
        <v>Suan</v>
      </c>
      <c r="P22" t="str">
        <v>Santa Cruz de Mompox</v>
      </c>
      <c r="Q22" t="str">
        <v>Chivatá</v>
      </c>
      <c r="R22" t="str">
        <v>Risaralda</v>
      </c>
      <c r="S22" t="str">
        <v/>
      </c>
      <c r="T22" t="str">
        <v/>
      </c>
      <c r="U22" t="str">
        <v>Miranda</v>
      </c>
      <c r="V22" t="str">
        <v>San Martín</v>
      </c>
      <c r="W22" t="str">
        <v>Nóvita</v>
      </c>
      <c r="X22" t="str">
        <v>Sahagún</v>
      </c>
      <c r="Y22" t="str">
        <v>Cogua</v>
      </c>
      <c r="Z22" t="str">
        <v/>
      </c>
      <c r="AA22" t="str">
        <v/>
      </c>
      <c r="AB22" t="str">
        <v>Palermo</v>
      </c>
      <c r="AC22" t="str">
        <v/>
      </c>
      <c r="AD22" t="str">
        <v>Sabanas de San Ángel</v>
      </c>
      <c r="AE22" t="str">
        <v>Puerto Lleras</v>
      </c>
      <c r="AF22" t="str">
        <v>El Tablón</v>
      </c>
      <c r="AG22" t="str">
        <v>Labateca</v>
      </c>
      <c r="AH22" t="str">
        <v/>
      </c>
      <c r="AI22" t="str">
        <v/>
      </c>
      <c r="AJ22" t="str">
        <v/>
      </c>
      <c r="AK22" t="str">
        <v/>
      </c>
      <c r="AL22" t="str">
        <v>Concepción</v>
      </c>
      <c r="AM22" t="str">
        <v>San Marcos</v>
      </c>
      <c r="AN22" t="str">
        <v>Icononzo</v>
      </c>
      <c r="AO22" t="str">
        <v>Guacarí</v>
      </c>
      <c r="AP22" t="str">
        <v/>
      </c>
      <c r="AQ22" t="str">
        <v/>
      </c>
    </row>
    <row r="23" spans="2:43" x14ac:dyDescent="0.25">
      <c r="B23">
        <v>22</v>
      </c>
      <c r="C23" t="s">
        <v>72</v>
      </c>
      <c r="F23">
        <v>22</v>
      </c>
      <c r="G23" t="s">
        <v>102</v>
      </c>
      <c r="H23">
        <v>3</v>
      </c>
      <c r="K23" t="str">
        <v/>
      </c>
      <c r="L23" t="str">
        <v/>
      </c>
      <c r="M23" t="str">
        <v>Ciudad Bolívar</v>
      </c>
      <c r="N23" t="str">
        <v/>
      </c>
      <c r="O23" t="str">
        <v>Tubará</v>
      </c>
      <c r="P23" t="str">
        <v>Montecristo</v>
      </c>
      <c r="Q23" t="str">
        <v>Chivor</v>
      </c>
      <c r="R23" t="str">
        <v>Salamina</v>
      </c>
      <c r="S23" t="str">
        <v/>
      </c>
      <c r="T23" t="str">
        <v/>
      </c>
      <c r="U23" t="str">
        <v>Morales</v>
      </c>
      <c r="V23" t="str">
        <v>Tamalameque</v>
      </c>
      <c r="W23" t="str">
        <v>Nuquí</v>
      </c>
      <c r="X23" t="str">
        <v>San Andrés de Sotavento</v>
      </c>
      <c r="Y23" t="str">
        <v>Cota</v>
      </c>
      <c r="Z23" t="str">
        <v/>
      </c>
      <c r="AA23" t="str">
        <v/>
      </c>
      <c r="AB23" t="str">
        <v>Palestina</v>
      </c>
      <c r="AC23" t="str">
        <v/>
      </c>
      <c r="AD23" t="str">
        <v>Salamina</v>
      </c>
      <c r="AE23" t="str">
        <v>Puerto López</v>
      </c>
      <c r="AF23" t="str">
        <v>El Tambo</v>
      </c>
      <c r="AG23" t="str">
        <v>Los Patios</v>
      </c>
      <c r="AH23" t="str">
        <v/>
      </c>
      <c r="AI23" t="str">
        <v/>
      </c>
      <c r="AJ23" t="str">
        <v/>
      </c>
      <c r="AK23" t="str">
        <v/>
      </c>
      <c r="AL23" t="str">
        <v>Confines</v>
      </c>
      <c r="AM23" t="str">
        <v>San Onofre</v>
      </c>
      <c r="AN23" t="str">
        <v>Lérida</v>
      </c>
      <c r="AO23" t="str">
        <v>Jamundí</v>
      </c>
      <c r="AP23" t="str">
        <v/>
      </c>
      <c r="AQ23" t="str">
        <v/>
      </c>
    </row>
    <row r="24" spans="2:43" x14ac:dyDescent="0.25">
      <c r="B24">
        <v>23</v>
      </c>
      <c r="C24" t="s">
        <v>73</v>
      </c>
      <c r="F24">
        <v>23</v>
      </c>
      <c r="G24" t="s">
        <v>103</v>
      </c>
      <c r="H24">
        <v>3</v>
      </c>
      <c r="K24" t="str">
        <v/>
      </c>
      <c r="L24" t="str">
        <v/>
      </c>
      <c r="M24" t="str">
        <v>Briceño</v>
      </c>
      <c r="N24" t="str">
        <v/>
      </c>
      <c r="O24" t="str">
        <v>Usiacurí</v>
      </c>
      <c r="P24" t="str">
        <v>Morales</v>
      </c>
      <c r="Q24" t="str">
        <v>Ciénega</v>
      </c>
      <c r="R24" t="str">
        <v>Samaná</v>
      </c>
      <c r="S24" t="str">
        <v/>
      </c>
      <c r="T24" t="str">
        <v/>
      </c>
      <c r="U24" t="str">
        <v>Padilla</v>
      </c>
      <c r="V24" t="str">
        <v>Teorama</v>
      </c>
      <c r="W24" t="str">
        <v>Riosucio</v>
      </c>
      <c r="X24" t="str">
        <v>San Antero</v>
      </c>
      <c r="Y24" t="str">
        <v>Cucunubá</v>
      </c>
      <c r="Z24" t="str">
        <v/>
      </c>
      <c r="AA24" t="str">
        <v/>
      </c>
      <c r="AB24" t="str">
        <v>El Pital</v>
      </c>
      <c r="AC24" t="str">
        <v/>
      </c>
      <c r="AD24" t="str">
        <v>San Sebastián de Buenavista</v>
      </c>
      <c r="AE24" t="str">
        <v>Puerto Rico</v>
      </c>
      <c r="AF24" t="str">
        <v>Funes</v>
      </c>
      <c r="AG24" t="str">
        <v>Lourdes</v>
      </c>
      <c r="AH24" t="str">
        <v/>
      </c>
      <c r="AI24" t="str">
        <v/>
      </c>
      <c r="AJ24" t="str">
        <v/>
      </c>
      <c r="AK24" t="str">
        <v/>
      </c>
      <c r="AL24" t="str">
        <v>Contratación</v>
      </c>
      <c r="AM24" t="str">
        <v>San Pedro</v>
      </c>
      <c r="AN24" t="str">
        <v>Líbano</v>
      </c>
      <c r="AO24" t="str">
        <v>La Cumbre</v>
      </c>
      <c r="AP24" t="str">
        <v/>
      </c>
      <c r="AQ24" t="str">
        <v/>
      </c>
    </row>
    <row r="25" spans="2:43" x14ac:dyDescent="0.25">
      <c r="B25">
        <v>24</v>
      </c>
      <c r="C25" t="s">
        <v>74</v>
      </c>
      <c r="F25">
        <v>24</v>
      </c>
      <c r="G25" t="s">
        <v>104</v>
      </c>
      <c r="H25">
        <v>3</v>
      </c>
      <c r="K25" t="str">
        <v/>
      </c>
      <c r="L25" t="str">
        <v/>
      </c>
      <c r="M25" t="str">
        <v>Buriticá</v>
      </c>
      <c r="N25" t="str">
        <v/>
      </c>
      <c r="O25" t="str">
        <v/>
      </c>
      <c r="P25" t="str">
        <v>Norosí</v>
      </c>
      <c r="Q25" t="str">
        <v>Cómbita</v>
      </c>
      <c r="R25" t="str">
        <v>San José</v>
      </c>
      <c r="S25" t="str">
        <v/>
      </c>
      <c r="T25" t="str">
        <v/>
      </c>
      <c r="U25" t="str">
        <v>Páez</v>
      </c>
      <c r="V25" t="str">
        <v>Urumita</v>
      </c>
      <c r="W25" t="str">
        <v>San José del Palmar</v>
      </c>
      <c r="X25" t="str">
        <v>San Bernardo del Viento</v>
      </c>
      <c r="Y25" t="str">
        <v>El Colegio</v>
      </c>
      <c r="Z25" t="str">
        <v/>
      </c>
      <c r="AA25" t="str">
        <v/>
      </c>
      <c r="AB25" t="str">
        <v>Pitalito</v>
      </c>
      <c r="AC25" t="str">
        <v/>
      </c>
      <c r="AD25" t="str">
        <v>San Zenón</v>
      </c>
      <c r="AE25" t="str">
        <v>Restrepo</v>
      </c>
      <c r="AF25" t="str">
        <v>Guachucal</v>
      </c>
      <c r="AG25" t="str">
        <v>Mutiscua</v>
      </c>
      <c r="AH25" t="str">
        <v/>
      </c>
      <c r="AI25" t="str">
        <v/>
      </c>
      <c r="AJ25" t="str">
        <v/>
      </c>
      <c r="AK25" t="str">
        <v/>
      </c>
      <c r="AL25" t="str">
        <v>Coromoro</v>
      </c>
      <c r="AM25" t="str">
        <v>Sincé</v>
      </c>
      <c r="AN25" t="str">
        <v>Melgar</v>
      </c>
      <c r="AO25" t="str">
        <v>La Unión</v>
      </c>
      <c r="AP25" t="str">
        <v/>
      </c>
      <c r="AQ25" t="str">
        <v/>
      </c>
    </row>
    <row r="26" spans="2:43" x14ac:dyDescent="0.25">
      <c r="B26">
        <v>25</v>
      </c>
      <c r="C26" t="s">
        <v>75</v>
      </c>
      <c r="F26">
        <v>25</v>
      </c>
      <c r="G26" t="s">
        <v>105</v>
      </c>
      <c r="H26">
        <v>3</v>
      </c>
      <c r="K26" t="str">
        <v/>
      </c>
      <c r="L26" t="str">
        <v/>
      </c>
      <c r="M26" t="str">
        <v>Cáceres</v>
      </c>
      <c r="N26" t="str">
        <v/>
      </c>
      <c r="O26" t="str">
        <v/>
      </c>
      <c r="P26" t="str">
        <v>Pinillos</v>
      </c>
      <c r="Q26" t="str">
        <v>Coper</v>
      </c>
      <c r="R26" t="str">
        <v>Supía</v>
      </c>
      <c r="S26" t="str">
        <v/>
      </c>
      <c r="T26" t="str">
        <v/>
      </c>
      <c r="U26" t="str">
        <v>Patía</v>
      </c>
      <c r="V26" t="str">
        <v/>
      </c>
      <c r="W26" t="str">
        <v>Sipí</v>
      </c>
      <c r="X26" t="str">
        <v>San Carlos</v>
      </c>
      <c r="Y26" t="str">
        <v>El Peñón</v>
      </c>
      <c r="Z26" t="str">
        <v/>
      </c>
      <c r="AA26" t="str">
        <v/>
      </c>
      <c r="AB26" t="str">
        <v>Rivera</v>
      </c>
      <c r="AC26" t="str">
        <v/>
      </c>
      <c r="AD26" t="str">
        <v>Santa Ana</v>
      </c>
      <c r="AE26" t="str">
        <v>San Carlos de Guaroa</v>
      </c>
      <c r="AF26" t="str">
        <v>Guaitarilla</v>
      </c>
      <c r="AG26" t="str">
        <v>Ocaña</v>
      </c>
      <c r="AH26" t="str">
        <v/>
      </c>
      <c r="AI26" t="str">
        <v/>
      </c>
      <c r="AJ26" t="str">
        <v/>
      </c>
      <c r="AK26" t="str">
        <v/>
      </c>
      <c r="AL26" t="str">
        <v>Curití</v>
      </c>
      <c r="AM26" t="str">
        <v>Sucre</v>
      </c>
      <c r="AN26" t="str">
        <v>Murillo</v>
      </c>
      <c r="AO26" t="str">
        <v>La Victoria</v>
      </c>
      <c r="AP26" t="str">
        <v/>
      </c>
      <c r="AQ26" t="str">
        <v/>
      </c>
    </row>
    <row r="27" spans="2:43" x14ac:dyDescent="0.25">
      <c r="B27">
        <v>26</v>
      </c>
      <c r="C27" t="s">
        <v>76</v>
      </c>
      <c r="F27">
        <v>26</v>
      </c>
      <c r="G27" t="s">
        <v>106</v>
      </c>
      <c r="H27">
        <v>3</v>
      </c>
      <c r="K27" t="str">
        <v/>
      </c>
      <c r="L27" t="str">
        <v/>
      </c>
      <c r="M27" t="str">
        <v>Caicedo</v>
      </c>
      <c r="N27" t="str">
        <v/>
      </c>
      <c r="O27" t="str">
        <v/>
      </c>
      <c r="P27" t="str">
        <v>Regidor</v>
      </c>
      <c r="Q27" t="str">
        <v>Corrales</v>
      </c>
      <c r="R27" t="str">
        <v>Villamaría</v>
      </c>
      <c r="S27" t="str">
        <v/>
      </c>
      <c r="T27" t="str">
        <v/>
      </c>
      <c r="U27" t="str">
        <v>Piamonte</v>
      </c>
      <c r="V27" t="str">
        <v/>
      </c>
      <c r="W27" t="str">
        <v>Tadó</v>
      </c>
      <c r="X27" t="str">
        <v>San Pelayo</v>
      </c>
      <c r="Y27" t="str">
        <v>El Rosal</v>
      </c>
      <c r="Z27" t="str">
        <v/>
      </c>
      <c r="AA27" t="str">
        <v/>
      </c>
      <c r="AB27" t="str">
        <v>Saladoblanco</v>
      </c>
      <c r="AC27" t="str">
        <v/>
      </c>
      <c r="AD27" t="str">
        <v>Sitionuevo</v>
      </c>
      <c r="AE27" t="str">
        <v>San Juan de Arama</v>
      </c>
      <c r="AF27" t="str">
        <v>Gualmatán</v>
      </c>
      <c r="AG27" t="str">
        <v>Pamplona</v>
      </c>
      <c r="AH27" t="str">
        <v/>
      </c>
      <c r="AI27" t="str">
        <v/>
      </c>
      <c r="AJ27" t="str">
        <v/>
      </c>
      <c r="AK27" t="str">
        <v/>
      </c>
      <c r="AL27" t="str">
        <v>El Carmen de Chucurí</v>
      </c>
      <c r="AM27" t="str">
        <v>Tolú</v>
      </c>
      <c r="AN27" t="str">
        <v>Natagaima</v>
      </c>
      <c r="AO27" t="str">
        <v>Leiva</v>
      </c>
      <c r="AP27" t="str">
        <v/>
      </c>
      <c r="AQ27" t="str">
        <v/>
      </c>
    </row>
    <row r="28" spans="2:43" x14ac:dyDescent="0.25">
      <c r="B28">
        <v>27</v>
      </c>
      <c r="C28" t="s">
        <v>77</v>
      </c>
      <c r="F28">
        <v>27</v>
      </c>
      <c r="G28" t="s">
        <v>107</v>
      </c>
      <c r="H28">
        <v>3</v>
      </c>
      <c r="K28" t="str">
        <v/>
      </c>
      <c r="L28" t="str">
        <v/>
      </c>
      <c r="M28" t="str">
        <v>Caldas</v>
      </c>
      <c r="N28" t="str">
        <v/>
      </c>
      <c r="O28" t="str">
        <v/>
      </c>
      <c r="P28" t="str">
        <v>Río Viejo</v>
      </c>
      <c r="Q28" t="str">
        <v>Covarachía</v>
      </c>
      <c r="R28" t="str">
        <v>Viterbo</v>
      </c>
      <c r="S28" t="str">
        <v/>
      </c>
      <c r="T28" t="str">
        <v/>
      </c>
      <c r="U28" t="str">
        <v>Piendamó</v>
      </c>
      <c r="V28" t="str">
        <v/>
      </c>
      <c r="W28" t="str">
        <v>Unguía</v>
      </c>
      <c r="X28" t="str">
        <v>Tierralta</v>
      </c>
      <c r="Y28" t="str">
        <v>Facatativá</v>
      </c>
      <c r="Z28" t="str">
        <v/>
      </c>
      <c r="AA28" t="str">
        <v/>
      </c>
      <c r="AB28" t="str">
        <v>San Agustín</v>
      </c>
      <c r="AC28" t="str">
        <v/>
      </c>
      <c r="AD28" t="str">
        <v>Tenerife</v>
      </c>
      <c r="AE28" t="str">
        <v>San Juanito</v>
      </c>
      <c r="AF28" t="str">
        <v>Iles</v>
      </c>
      <c r="AG28" t="str">
        <v>Pamplonita</v>
      </c>
      <c r="AH28" t="str">
        <v/>
      </c>
      <c r="AI28" t="str">
        <v/>
      </c>
      <c r="AJ28" t="str">
        <v/>
      </c>
      <c r="AK28" t="str">
        <v/>
      </c>
      <c r="AL28" t="str">
        <v>El Guacamayo</v>
      </c>
      <c r="AM28" t="str">
        <v>Toluviejo</v>
      </c>
      <c r="AN28" t="str">
        <v>Ortega</v>
      </c>
      <c r="AO28" t="str">
        <v>Obando</v>
      </c>
      <c r="AP28" t="str">
        <v/>
      </c>
      <c r="AQ28" t="str">
        <v/>
      </c>
    </row>
    <row r="29" spans="2:43" x14ac:dyDescent="0.25">
      <c r="B29">
        <v>28</v>
      </c>
      <c r="C29" t="s">
        <v>78</v>
      </c>
      <c r="F29">
        <v>28</v>
      </c>
      <c r="G29" t="s">
        <v>12</v>
      </c>
      <c r="H29">
        <v>3</v>
      </c>
      <c r="K29" t="str">
        <v/>
      </c>
      <c r="L29" t="str">
        <v/>
      </c>
      <c r="M29" t="str">
        <v>Campamento</v>
      </c>
      <c r="N29" t="str">
        <v/>
      </c>
      <c r="O29" t="str">
        <v/>
      </c>
      <c r="P29" t="str">
        <v>San Cristóbal</v>
      </c>
      <c r="Q29" t="str">
        <v>Cubará</v>
      </c>
      <c r="R29" t="str">
        <v/>
      </c>
      <c r="S29" t="str">
        <v/>
      </c>
      <c r="T29" t="str">
        <v/>
      </c>
      <c r="U29" t="str">
        <v>Puerto Tejada</v>
      </c>
      <c r="V29" t="str">
        <v/>
      </c>
      <c r="W29" t="str">
        <v>Unión Panamericana</v>
      </c>
      <c r="X29" t="str">
        <v>Tuchín</v>
      </c>
      <c r="Y29" t="str">
        <v>Fómeque</v>
      </c>
      <c r="Z29" t="str">
        <v/>
      </c>
      <c r="AA29" t="str">
        <v/>
      </c>
      <c r="AB29" t="str">
        <v>Santa María</v>
      </c>
      <c r="AC29" t="str">
        <v/>
      </c>
      <c r="AD29" t="str">
        <v>Zapayán</v>
      </c>
      <c r="AE29" t="str">
        <v>San Martín</v>
      </c>
      <c r="AF29" t="str">
        <v>Imués</v>
      </c>
      <c r="AG29" t="str">
        <v>Puerto Santander</v>
      </c>
      <c r="AH29" t="str">
        <v/>
      </c>
      <c r="AI29" t="str">
        <v/>
      </c>
      <c r="AJ29" t="str">
        <v/>
      </c>
      <c r="AK29" t="str">
        <v/>
      </c>
      <c r="AL29" t="str">
        <v>El Peñón</v>
      </c>
      <c r="AM29" t="str">
        <v/>
      </c>
      <c r="AN29" t="str">
        <v>Palocabildo</v>
      </c>
      <c r="AO29" t="str">
        <v>Palmira</v>
      </c>
      <c r="AP29" t="str">
        <v/>
      </c>
      <c r="AQ29" t="str">
        <v/>
      </c>
    </row>
    <row r="30" spans="2:43" x14ac:dyDescent="0.25">
      <c r="B30">
        <v>29</v>
      </c>
      <c r="C30" t="s">
        <v>79</v>
      </c>
      <c r="F30">
        <v>29</v>
      </c>
      <c r="G30" t="s">
        <v>108</v>
      </c>
      <c r="H30">
        <v>3</v>
      </c>
      <c r="K30" t="str">
        <v/>
      </c>
      <c r="L30" t="str">
        <v/>
      </c>
      <c r="M30" t="str">
        <v>Cañasgordas</v>
      </c>
      <c r="N30" t="str">
        <v/>
      </c>
      <c r="O30" t="str">
        <v/>
      </c>
      <c r="P30" t="str">
        <v>San Estanislao</v>
      </c>
      <c r="Q30" t="str">
        <v>Cucaita</v>
      </c>
      <c r="R30" t="str">
        <v/>
      </c>
      <c r="S30" t="str">
        <v/>
      </c>
      <c r="T30" t="str">
        <v/>
      </c>
      <c r="U30" t="str">
        <v>Puracé-Coconuco</v>
      </c>
      <c r="V30" t="str">
        <v/>
      </c>
      <c r="W30" t="str">
        <v/>
      </c>
      <c r="X30" t="str">
        <v>Valencia</v>
      </c>
      <c r="Y30" t="str">
        <v>Fosca</v>
      </c>
      <c r="Z30" t="str">
        <v/>
      </c>
      <c r="AA30" t="str">
        <v/>
      </c>
      <c r="AB30" t="str">
        <v>Suaza</v>
      </c>
      <c r="AC30" t="str">
        <v/>
      </c>
      <c r="AD30" t="str">
        <v>Zona Bananera</v>
      </c>
      <c r="AE30" t="str">
        <v>Vista Hermosa</v>
      </c>
      <c r="AF30" t="str">
        <v>Ipiales</v>
      </c>
      <c r="AG30" t="str">
        <v>Ragonvalia</v>
      </c>
      <c r="AH30" t="str">
        <v/>
      </c>
      <c r="AI30" t="str">
        <v/>
      </c>
      <c r="AJ30" t="str">
        <v/>
      </c>
      <c r="AK30" t="str">
        <v/>
      </c>
      <c r="AL30" t="str">
        <v>El Playón</v>
      </c>
      <c r="AM30" t="str">
        <v/>
      </c>
      <c r="AN30" t="str">
        <v>Piedras</v>
      </c>
      <c r="AO30" t="str">
        <v>Pradera</v>
      </c>
      <c r="AP30" t="str">
        <v/>
      </c>
      <c r="AQ30" t="str">
        <v/>
      </c>
    </row>
    <row r="31" spans="2:43" x14ac:dyDescent="0.25">
      <c r="B31">
        <v>30</v>
      </c>
      <c r="C31" t="s">
        <v>80</v>
      </c>
      <c r="F31">
        <v>30</v>
      </c>
      <c r="G31" t="s">
        <v>109</v>
      </c>
      <c r="H31">
        <v>3</v>
      </c>
      <c r="K31" t="str">
        <v/>
      </c>
      <c r="L31" t="str">
        <v/>
      </c>
      <c r="M31" t="str">
        <v>Caracolí</v>
      </c>
      <c r="N31" t="str">
        <v/>
      </c>
      <c r="O31" t="str">
        <v/>
      </c>
      <c r="P31" t="str">
        <v>San Fernando</v>
      </c>
      <c r="Q31" t="str">
        <v>Cuítiva</v>
      </c>
      <c r="R31" t="str">
        <v/>
      </c>
      <c r="S31" t="str">
        <v/>
      </c>
      <c r="T31" t="str">
        <v/>
      </c>
      <c r="U31" t="str">
        <v>Rosas</v>
      </c>
      <c r="V31" t="str">
        <v/>
      </c>
      <c r="W31" t="str">
        <v/>
      </c>
      <c r="X31" t="str">
        <v/>
      </c>
      <c r="Y31" t="str">
        <v>Funza</v>
      </c>
      <c r="Z31" t="str">
        <v/>
      </c>
      <c r="AA31" t="str">
        <v/>
      </c>
      <c r="AB31" t="str">
        <v>Tarqui</v>
      </c>
      <c r="AC31" t="str">
        <v/>
      </c>
      <c r="AD31" t="str">
        <v/>
      </c>
      <c r="AE31" t="str">
        <v/>
      </c>
      <c r="AF31" t="str">
        <v>La Cruz</v>
      </c>
      <c r="AG31" t="str">
        <v>Salazar de Las Palmas</v>
      </c>
      <c r="AH31" t="str">
        <v/>
      </c>
      <c r="AI31" t="str">
        <v/>
      </c>
      <c r="AJ31" t="str">
        <v/>
      </c>
      <c r="AK31" t="str">
        <v/>
      </c>
      <c r="AL31" t="str">
        <v>Encino</v>
      </c>
      <c r="AM31" t="str">
        <v/>
      </c>
      <c r="AN31" t="str">
        <v>Planadas</v>
      </c>
      <c r="AO31" t="str">
        <v>Restrepo</v>
      </c>
      <c r="AP31" t="str">
        <v/>
      </c>
      <c r="AQ31" t="str">
        <v/>
      </c>
    </row>
    <row r="32" spans="2:43" x14ac:dyDescent="0.25">
      <c r="B32">
        <v>31</v>
      </c>
      <c r="C32" t="s">
        <v>81</v>
      </c>
      <c r="F32">
        <v>31</v>
      </c>
      <c r="G32" t="s">
        <v>110</v>
      </c>
      <c r="H32">
        <v>3</v>
      </c>
      <c r="K32" t="str">
        <v/>
      </c>
      <c r="L32" t="str">
        <v/>
      </c>
      <c r="M32" t="str">
        <v>Caramanta</v>
      </c>
      <c r="N32" t="str">
        <v/>
      </c>
      <c r="O32" t="str">
        <v/>
      </c>
      <c r="P32" t="str">
        <v>San Jacinto del Cauca</v>
      </c>
      <c r="Q32" t="str">
        <v>Duitama</v>
      </c>
      <c r="R32" t="str">
        <v/>
      </c>
      <c r="S32" t="str">
        <v/>
      </c>
      <c r="T32" t="str">
        <v/>
      </c>
      <c r="U32" t="str">
        <v>San Sebastián</v>
      </c>
      <c r="V32" t="str">
        <v/>
      </c>
      <c r="W32" t="str">
        <v/>
      </c>
      <c r="X32" t="str">
        <v/>
      </c>
      <c r="Y32" t="str">
        <v>Fúquene</v>
      </c>
      <c r="Z32" t="str">
        <v/>
      </c>
      <c r="AA32" t="str">
        <v/>
      </c>
      <c r="AB32" t="str">
        <v>Tello</v>
      </c>
      <c r="AC32" t="str">
        <v/>
      </c>
      <c r="AD32" t="str">
        <v/>
      </c>
      <c r="AE32" t="str">
        <v/>
      </c>
      <c r="AF32" t="str">
        <v>La Florida</v>
      </c>
      <c r="AG32" t="str">
        <v>San Calixto</v>
      </c>
      <c r="AH32" t="str">
        <v/>
      </c>
      <c r="AI32" t="str">
        <v/>
      </c>
      <c r="AJ32" t="str">
        <v/>
      </c>
      <c r="AK32" t="str">
        <v/>
      </c>
      <c r="AL32" t="str">
        <v>Enciso</v>
      </c>
      <c r="AM32" t="str">
        <v/>
      </c>
      <c r="AN32" t="str">
        <v>Prado</v>
      </c>
      <c r="AO32" t="str">
        <v>Riofrío</v>
      </c>
      <c r="AP32" t="str">
        <v/>
      </c>
      <c r="AQ32" t="str">
        <v/>
      </c>
    </row>
    <row r="33" spans="2:43" x14ac:dyDescent="0.25">
      <c r="B33">
        <v>32</v>
      </c>
      <c r="C33" t="s">
        <v>82</v>
      </c>
      <c r="F33">
        <v>32</v>
      </c>
      <c r="G33" t="s">
        <v>111</v>
      </c>
      <c r="H33">
        <v>3</v>
      </c>
      <c r="K33" t="str">
        <v/>
      </c>
      <c r="L33" t="str">
        <v/>
      </c>
      <c r="M33" t="str">
        <v>Carepa</v>
      </c>
      <c r="N33" t="str">
        <v/>
      </c>
      <c r="O33" t="str">
        <v/>
      </c>
      <c r="P33" t="str">
        <v>San Jacinto del Cauca</v>
      </c>
      <c r="Q33" t="str">
        <v>El Cocuy</v>
      </c>
      <c r="R33" t="str">
        <v/>
      </c>
      <c r="S33" t="str">
        <v/>
      </c>
      <c r="T33" t="str">
        <v/>
      </c>
      <c r="U33" t="str">
        <v>Santa Rosa</v>
      </c>
      <c r="V33" t="str">
        <v/>
      </c>
      <c r="W33" t="str">
        <v/>
      </c>
      <c r="X33" t="str">
        <v/>
      </c>
      <c r="Y33" t="str">
        <v>Fusagasugá</v>
      </c>
      <c r="Z33" t="str">
        <v/>
      </c>
      <c r="AA33" t="str">
        <v/>
      </c>
      <c r="AB33" t="str">
        <v>Teruel</v>
      </c>
      <c r="AC33" t="str">
        <v/>
      </c>
      <c r="AD33" t="str">
        <v/>
      </c>
      <c r="AE33" t="str">
        <v/>
      </c>
      <c r="AF33" t="str">
        <v>La Llanada</v>
      </c>
      <c r="AG33" t="str">
        <v>San Cayetano</v>
      </c>
      <c r="AH33" t="str">
        <v/>
      </c>
      <c r="AI33" t="str">
        <v/>
      </c>
      <c r="AJ33" t="str">
        <v/>
      </c>
      <c r="AK33" t="str">
        <v/>
      </c>
      <c r="AL33" t="str">
        <v>Florián</v>
      </c>
      <c r="AM33" t="str">
        <v/>
      </c>
      <c r="AN33" t="str">
        <v>Purificación</v>
      </c>
      <c r="AO33" t="str">
        <v>Roldanillo</v>
      </c>
      <c r="AP33" t="str">
        <v/>
      </c>
      <c r="AQ33" t="str">
        <v/>
      </c>
    </row>
    <row r="34" spans="2:43" x14ac:dyDescent="0.25">
      <c r="B34">
        <v>33</v>
      </c>
      <c r="C34" t="s">
        <v>83</v>
      </c>
      <c r="F34">
        <v>33</v>
      </c>
      <c r="G34" t="s">
        <v>112</v>
      </c>
      <c r="H34">
        <v>3</v>
      </c>
      <c r="K34" t="str">
        <v/>
      </c>
      <c r="L34" t="str">
        <v/>
      </c>
      <c r="M34" t="str">
        <v>Carolina del Príncipe</v>
      </c>
      <c r="N34" t="str">
        <v/>
      </c>
      <c r="O34" t="str">
        <v/>
      </c>
      <c r="P34" t="str">
        <v>San Juan Nepomuceno</v>
      </c>
      <c r="Q34" t="str">
        <v>El Espino</v>
      </c>
      <c r="R34" t="str">
        <v/>
      </c>
      <c r="S34" t="str">
        <v/>
      </c>
      <c r="T34" t="str">
        <v/>
      </c>
      <c r="U34" t="str">
        <v>Santander de Quilichao</v>
      </c>
      <c r="V34" t="str">
        <v/>
      </c>
      <c r="W34" t="str">
        <v/>
      </c>
      <c r="X34" t="str">
        <v/>
      </c>
      <c r="Y34" t="str">
        <v>Gachalá</v>
      </c>
      <c r="Z34" t="str">
        <v/>
      </c>
      <c r="AA34" t="str">
        <v/>
      </c>
      <c r="AB34" t="str">
        <v>Tesalia</v>
      </c>
      <c r="AC34" t="str">
        <v/>
      </c>
      <c r="AD34" t="str">
        <v/>
      </c>
      <c r="AE34" t="str">
        <v/>
      </c>
      <c r="AF34" t="str">
        <v>La Tola</v>
      </c>
      <c r="AG34" t="str">
        <v>Santiago</v>
      </c>
      <c r="AH34" t="str">
        <v/>
      </c>
      <c r="AI34" t="str">
        <v/>
      </c>
      <c r="AJ34" t="str">
        <v/>
      </c>
      <c r="AK34" t="str">
        <v/>
      </c>
      <c r="AL34" t="str">
        <v>Florida Blanca</v>
      </c>
      <c r="AM34" t="str">
        <v/>
      </c>
      <c r="AN34" t="str">
        <v>Rioblanco</v>
      </c>
      <c r="AO34" t="str">
        <v>San Pedro</v>
      </c>
      <c r="AP34" t="str">
        <v/>
      </c>
      <c r="AQ34" t="str">
        <v/>
      </c>
    </row>
    <row r="35" spans="2:43" x14ac:dyDescent="0.25">
      <c r="F35">
        <v>34</v>
      </c>
      <c r="G35" t="s">
        <v>113</v>
      </c>
      <c r="H35">
        <v>3</v>
      </c>
      <c r="K35" t="str">
        <v/>
      </c>
      <c r="L35" t="str">
        <v/>
      </c>
      <c r="M35" t="str">
        <v>Caucasia</v>
      </c>
      <c r="N35" t="str">
        <v/>
      </c>
      <c r="O35" t="str">
        <v/>
      </c>
      <c r="P35" t="str">
        <v>San Martín de Loba</v>
      </c>
      <c r="Q35" t="str">
        <v>Firavitoba</v>
      </c>
      <c r="R35" t="str">
        <v/>
      </c>
      <c r="S35" t="str">
        <v/>
      </c>
      <c r="T35" t="str">
        <v/>
      </c>
      <c r="U35" t="str">
        <v>Silvia</v>
      </c>
      <c r="V35" t="str">
        <v/>
      </c>
      <c r="W35" t="str">
        <v/>
      </c>
      <c r="X35" t="str">
        <v/>
      </c>
      <c r="Y35" t="str">
        <v>Gachancipá</v>
      </c>
      <c r="Z35" t="str">
        <v/>
      </c>
      <c r="AA35" t="str">
        <v/>
      </c>
      <c r="AB35" t="str">
        <v>Timaná</v>
      </c>
      <c r="AC35" t="str">
        <v/>
      </c>
      <c r="AD35" t="str">
        <v/>
      </c>
      <c r="AE35" t="str">
        <v/>
      </c>
      <c r="AF35" t="str">
        <v>La Unión</v>
      </c>
      <c r="AG35" t="str">
        <v>Sardinata</v>
      </c>
      <c r="AH35" t="str">
        <v/>
      </c>
      <c r="AI35" t="str">
        <v/>
      </c>
      <c r="AJ35" t="str">
        <v/>
      </c>
      <c r="AK35" t="str">
        <v/>
      </c>
      <c r="AL35" t="str">
        <v>Galán</v>
      </c>
      <c r="AM35" t="str">
        <v/>
      </c>
      <c r="AN35" t="str">
        <v>Roncesvalles</v>
      </c>
      <c r="AO35" t="str">
        <v>Sevilla</v>
      </c>
      <c r="AP35" t="str">
        <v/>
      </c>
      <c r="AQ35" t="str">
        <v/>
      </c>
    </row>
    <row r="36" spans="2:43" x14ac:dyDescent="0.25">
      <c r="F36">
        <v>35</v>
      </c>
      <c r="G36" t="s">
        <v>114</v>
      </c>
      <c r="H36">
        <v>3</v>
      </c>
      <c r="K36" t="str">
        <v/>
      </c>
      <c r="L36" t="str">
        <v/>
      </c>
      <c r="M36" t="str">
        <v>Chigorodó</v>
      </c>
      <c r="N36" t="str">
        <v/>
      </c>
      <c r="O36" t="str">
        <v/>
      </c>
      <c r="P36" t="str">
        <v>San Pablo</v>
      </c>
      <c r="Q36" t="str">
        <v>Floresta</v>
      </c>
      <c r="R36" t="str">
        <v/>
      </c>
      <c r="S36" t="str">
        <v/>
      </c>
      <c r="T36" t="str">
        <v/>
      </c>
      <c r="U36" t="str">
        <v>Sotará</v>
      </c>
      <c r="V36" t="str">
        <v/>
      </c>
      <c r="W36" t="str">
        <v/>
      </c>
      <c r="X36" t="str">
        <v/>
      </c>
      <c r="Y36" t="str">
        <v>Gachetá</v>
      </c>
      <c r="Z36" t="str">
        <v/>
      </c>
      <c r="AA36" t="str">
        <v/>
      </c>
      <c r="AB36" t="str">
        <v>Villavieja</v>
      </c>
      <c r="AC36" t="str">
        <v/>
      </c>
      <c r="AD36" t="str">
        <v/>
      </c>
      <c r="AE36" t="str">
        <v/>
      </c>
      <c r="AF36" t="str">
        <v>Leiva</v>
      </c>
      <c r="AG36" t="str">
        <v>Santo Domingo de Silos</v>
      </c>
      <c r="AH36" t="str">
        <v/>
      </c>
      <c r="AI36" t="str">
        <v/>
      </c>
      <c r="AJ36" t="str">
        <v/>
      </c>
      <c r="AK36" t="str">
        <v/>
      </c>
      <c r="AL36" t="str">
        <v>Gámbita</v>
      </c>
      <c r="AM36" t="str">
        <v/>
      </c>
      <c r="AN36" t="str">
        <v>Rovira</v>
      </c>
      <c r="AO36" t="str">
        <v>Toro</v>
      </c>
      <c r="AP36" t="str">
        <v/>
      </c>
      <c r="AQ36" t="str">
        <v/>
      </c>
    </row>
    <row r="37" spans="2:43" x14ac:dyDescent="0.25">
      <c r="F37">
        <v>36</v>
      </c>
      <c r="G37" t="s">
        <v>115</v>
      </c>
      <c r="H37">
        <v>3</v>
      </c>
      <c r="K37" t="str">
        <v/>
      </c>
      <c r="L37" t="str">
        <v/>
      </c>
      <c r="M37" t="str">
        <v>Cisneros</v>
      </c>
      <c r="N37" t="str">
        <v/>
      </c>
      <c r="O37" t="str">
        <v/>
      </c>
      <c r="P37" t="str">
        <v>Santa Catalina</v>
      </c>
      <c r="Q37" t="str">
        <v>Gachantivá</v>
      </c>
      <c r="R37" t="str">
        <v/>
      </c>
      <c r="S37" t="str">
        <v/>
      </c>
      <c r="T37" t="str">
        <v/>
      </c>
      <c r="U37" t="str">
        <v>Suárez</v>
      </c>
      <c r="V37" t="str">
        <v/>
      </c>
      <c r="W37" t="str">
        <v/>
      </c>
      <c r="X37" t="str">
        <v/>
      </c>
      <c r="Y37" t="str">
        <v>Gama</v>
      </c>
      <c r="Z37" t="str">
        <v/>
      </c>
      <c r="AA37" t="str">
        <v/>
      </c>
      <c r="AB37" t="str">
        <v>Yaguará</v>
      </c>
      <c r="AC37" t="str">
        <v/>
      </c>
      <c r="AD37" t="str">
        <v/>
      </c>
      <c r="AE37" t="str">
        <v/>
      </c>
      <c r="AF37" t="str">
        <v>Linares</v>
      </c>
      <c r="AG37" t="str">
        <v>Teorama</v>
      </c>
      <c r="AH37" t="str">
        <v/>
      </c>
      <c r="AI37" t="str">
        <v/>
      </c>
      <c r="AJ37" t="str">
        <v/>
      </c>
      <c r="AK37" t="str">
        <v/>
      </c>
      <c r="AL37" t="str">
        <v>San Juan de Girón</v>
      </c>
      <c r="AM37" t="str">
        <v/>
      </c>
      <c r="AN37" t="str">
        <v>Saldaña</v>
      </c>
      <c r="AO37" t="str">
        <v>Tuluá</v>
      </c>
      <c r="AP37" t="str">
        <v/>
      </c>
      <c r="AQ37" t="str">
        <v/>
      </c>
    </row>
    <row r="38" spans="2:43" x14ac:dyDescent="0.25">
      <c r="F38">
        <v>37</v>
      </c>
      <c r="G38" t="s">
        <v>116</v>
      </c>
      <c r="H38">
        <v>3</v>
      </c>
      <c r="K38" t="str">
        <v/>
      </c>
      <c r="L38" t="str">
        <v/>
      </c>
      <c r="M38" t="str">
        <v>Cocorná</v>
      </c>
      <c r="N38" t="str">
        <v/>
      </c>
      <c r="O38" t="str">
        <v/>
      </c>
      <c r="P38" t="str">
        <v>Santa Rosa del Sur</v>
      </c>
      <c r="Q38" t="str">
        <v>Gámeza</v>
      </c>
      <c r="R38" t="str">
        <v/>
      </c>
      <c r="S38" t="str">
        <v/>
      </c>
      <c r="T38" t="str">
        <v/>
      </c>
      <c r="U38" t="str">
        <v>Sucre</v>
      </c>
      <c r="V38" t="str">
        <v/>
      </c>
      <c r="W38" t="str">
        <v/>
      </c>
      <c r="X38" t="str">
        <v/>
      </c>
      <c r="Y38" t="str">
        <v>Girardot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Los Andes</v>
      </c>
      <c r="AG38" t="str">
        <v>Toledo</v>
      </c>
      <c r="AH38" t="str">
        <v/>
      </c>
      <c r="AI38" t="str">
        <v/>
      </c>
      <c r="AJ38" t="str">
        <v/>
      </c>
      <c r="AK38" t="str">
        <v/>
      </c>
      <c r="AL38" t="str">
        <v>Guaca</v>
      </c>
      <c r="AM38" t="str">
        <v/>
      </c>
      <c r="AN38" t="str">
        <v>San Antonio</v>
      </c>
      <c r="AO38" t="str">
        <v>Tuluá</v>
      </c>
      <c r="AP38" t="str">
        <v/>
      </c>
      <c r="AQ38" t="str">
        <v/>
      </c>
    </row>
    <row r="39" spans="2:43" x14ac:dyDescent="0.25">
      <c r="F39">
        <v>38</v>
      </c>
      <c r="G39" t="s">
        <v>117</v>
      </c>
      <c r="H39">
        <v>3</v>
      </c>
      <c r="K39" t="str">
        <v/>
      </c>
      <c r="L39" t="str">
        <v/>
      </c>
      <c r="M39" t="str">
        <v>Concepción</v>
      </c>
      <c r="N39" t="str">
        <v/>
      </c>
      <c r="O39" t="str">
        <v/>
      </c>
      <c r="P39" t="str">
        <v>Santa Rosa del Sur</v>
      </c>
      <c r="Q39" t="str">
        <v>Garagoa</v>
      </c>
      <c r="R39" t="str">
        <v/>
      </c>
      <c r="S39" t="str">
        <v/>
      </c>
      <c r="T39" t="str">
        <v/>
      </c>
      <c r="U39" t="str">
        <v>Timbío</v>
      </c>
      <c r="V39" t="str">
        <v/>
      </c>
      <c r="W39" t="str">
        <v/>
      </c>
      <c r="X39" t="str">
        <v/>
      </c>
      <c r="Y39" t="str">
        <v>Granada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Magüí Payán</v>
      </c>
      <c r="AG39" t="str">
        <v>Villa Caro</v>
      </c>
      <c r="AH39" t="str">
        <v/>
      </c>
      <c r="AI39" t="str">
        <v/>
      </c>
      <c r="AJ39" t="str">
        <v/>
      </c>
      <c r="AK39" t="str">
        <v/>
      </c>
      <c r="AL39" t="str">
        <v>Guadalupe</v>
      </c>
      <c r="AM39" t="str">
        <v/>
      </c>
      <c r="AN39" t="str">
        <v>San Luis</v>
      </c>
      <c r="AO39" t="str">
        <v>Ulloa</v>
      </c>
      <c r="AP39" t="str">
        <v/>
      </c>
      <c r="AQ39" t="str">
        <v/>
      </c>
    </row>
    <row r="40" spans="2:43" x14ac:dyDescent="0.25">
      <c r="F40">
        <v>39</v>
      </c>
      <c r="G40" t="s">
        <v>58</v>
      </c>
      <c r="H40">
        <v>3</v>
      </c>
      <c r="K40" t="str">
        <v/>
      </c>
      <c r="L40" t="str">
        <v/>
      </c>
      <c r="M40" t="str">
        <v>Concordia</v>
      </c>
      <c r="N40" t="str">
        <v/>
      </c>
      <c r="O40" t="str">
        <v/>
      </c>
      <c r="P40" t="str">
        <v>Simití</v>
      </c>
      <c r="Q40" t="str">
        <v>Guacamayas</v>
      </c>
      <c r="R40" t="str">
        <v/>
      </c>
      <c r="S40" t="str">
        <v/>
      </c>
      <c r="T40" t="str">
        <v/>
      </c>
      <c r="U40" t="str">
        <v>Timbiquí</v>
      </c>
      <c r="V40" t="str">
        <v/>
      </c>
      <c r="W40" t="str">
        <v/>
      </c>
      <c r="X40" t="str">
        <v/>
      </c>
      <c r="Y40" t="str">
        <v>Guachetá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Mallama</v>
      </c>
      <c r="AG40" t="str">
        <v>Villa del Rosario</v>
      </c>
      <c r="AH40" t="str">
        <v/>
      </c>
      <c r="AI40" t="str">
        <v/>
      </c>
      <c r="AJ40" t="str">
        <v/>
      </c>
      <c r="AK40" t="str">
        <v/>
      </c>
      <c r="AL40" t="str">
        <v>Guapotá</v>
      </c>
      <c r="AM40" t="str">
        <v/>
      </c>
      <c r="AN40" t="str">
        <v>Santa Isabel</v>
      </c>
      <c r="AO40" t="str">
        <v>Versalles</v>
      </c>
      <c r="AP40" t="str">
        <v/>
      </c>
      <c r="AQ40" t="str">
        <v/>
      </c>
    </row>
    <row r="41" spans="2:43" x14ac:dyDescent="0.25">
      <c r="F41">
        <v>40</v>
      </c>
      <c r="G41" t="s">
        <v>118</v>
      </c>
      <c r="H41">
        <v>3</v>
      </c>
      <c r="K41" t="str">
        <v/>
      </c>
      <c r="L41" t="str">
        <v/>
      </c>
      <c r="M41" t="str">
        <v>Copacabana</v>
      </c>
      <c r="N41" t="str">
        <v/>
      </c>
      <c r="O41" t="str">
        <v/>
      </c>
      <c r="P41" t="str">
        <v>Soplaviento</v>
      </c>
      <c r="Q41" t="str">
        <v>Guateque</v>
      </c>
      <c r="R41" t="str">
        <v/>
      </c>
      <c r="S41" t="str">
        <v/>
      </c>
      <c r="T41" t="str">
        <v/>
      </c>
      <c r="U41" t="str">
        <v>Toribío</v>
      </c>
      <c r="V41" t="str">
        <v/>
      </c>
      <c r="W41" t="str">
        <v/>
      </c>
      <c r="X41" t="str">
        <v/>
      </c>
      <c r="Y41" t="str">
        <v>Guaduas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Mosquera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>Guavatá</v>
      </c>
      <c r="AM41" t="str">
        <v/>
      </c>
      <c r="AN41" t="str">
        <v>Suárez</v>
      </c>
      <c r="AO41" t="str">
        <v>Vijes</v>
      </c>
      <c r="AP41" t="str">
        <v/>
      </c>
      <c r="AQ41" t="str">
        <v/>
      </c>
    </row>
    <row r="42" spans="2:43" x14ac:dyDescent="0.25">
      <c r="F42">
        <v>41</v>
      </c>
      <c r="G42" t="s">
        <v>119</v>
      </c>
      <c r="H42">
        <v>3</v>
      </c>
      <c r="K42" t="str">
        <v/>
      </c>
      <c r="L42" t="str">
        <v/>
      </c>
      <c r="M42" t="str">
        <v>Dabeiba</v>
      </c>
      <c r="N42" t="str">
        <v/>
      </c>
      <c r="O42" t="str">
        <v/>
      </c>
      <c r="P42" t="str">
        <v>Talaigua Nuevo</v>
      </c>
      <c r="Q42" t="str">
        <v>Guayatá</v>
      </c>
      <c r="R42" t="str">
        <v/>
      </c>
      <c r="S42" t="str">
        <v/>
      </c>
      <c r="T42" t="str">
        <v/>
      </c>
      <c r="U42" t="str">
        <v>Totoró</v>
      </c>
      <c r="V42" t="str">
        <v/>
      </c>
      <c r="W42" t="str">
        <v/>
      </c>
      <c r="X42" t="str">
        <v/>
      </c>
      <c r="Y42" t="str">
        <v>Guasca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>Nariño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>Güepsa</v>
      </c>
      <c r="AM42" t="str">
        <v/>
      </c>
      <c r="AN42" t="str">
        <v>Valle de San Juan</v>
      </c>
      <c r="AO42" t="str">
        <v>Yotoco</v>
      </c>
      <c r="AP42" t="str">
        <v/>
      </c>
      <c r="AQ42" t="str">
        <v/>
      </c>
    </row>
    <row r="43" spans="2:43" x14ac:dyDescent="0.25">
      <c r="F43">
        <v>42</v>
      </c>
      <c r="G43" t="s">
        <v>120</v>
      </c>
      <c r="H43">
        <v>3</v>
      </c>
      <c r="K43" t="str">
        <v/>
      </c>
      <c r="L43" t="str">
        <v/>
      </c>
      <c r="M43" t="str">
        <v>Donmatías</v>
      </c>
      <c r="N43" t="str">
        <v/>
      </c>
      <c r="O43" t="str">
        <v/>
      </c>
      <c r="P43" t="str">
        <v>Tiquisio</v>
      </c>
      <c r="Q43" t="str">
        <v>Güicán</v>
      </c>
      <c r="R43" t="str">
        <v/>
      </c>
      <c r="S43" t="str">
        <v/>
      </c>
      <c r="T43" t="str">
        <v/>
      </c>
      <c r="U43" t="str">
        <v>Villa Rica</v>
      </c>
      <c r="V43" t="str">
        <v/>
      </c>
      <c r="W43" t="str">
        <v/>
      </c>
      <c r="X43" t="str">
        <v/>
      </c>
      <c r="Y43" t="str">
        <v>Guataquí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Olaya Herrera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>Hato</v>
      </c>
      <c r="AM43" t="str">
        <v/>
      </c>
      <c r="AN43" t="str">
        <v>Venadillo</v>
      </c>
      <c r="AO43" t="str">
        <v>Yumbo</v>
      </c>
      <c r="AP43" t="str">
        <v/>
      </c>
      <c r="AQ43" t="str">
        <v/>
      </c>
    </row>
    <row r="44" spans="2:43" x14ac:dyDescent="0.25">
      <c r="F44">
        <v>43</v>
      </c>
      <c r="G44" t="s">
        <v>121</v>
      </c>
      <c r="H44">
        <v>3</v>
      </c>
      <c r="K44" t="str">
        <v/>
      </c>
      <c r="L44" t="str">
        <v/>
      </c>
      <c r="M44" t="str">
        <v>Ebéjico</v>
      </c>
      <c r="N44" t="str">
        <v/>
      </c>
      <c r="O44" t="str">
        <v/>
      </c>
      <c r="P44" t="str">
        <v>Turbaco</v>
      </c>
      <c r="Q44" t="str">
        <v>Iza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Guatavita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Ospina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>Jesús María</v>
      </c>
      <c r="AM44" t="str">
        <v/>
      </c>
      <c r="AN44" t="str">
        <v>Villahermosa</v>
      </c>
      <c r="AO44" t="str">
        <v>Zarzal</v>
      </c>
      <c r="AP44" t="str">
        <v/>
      </c>
      <c r="AQ44" t="str">
        <v/>
      </c>
    </row>
    <row r="45" spans="2:43" x14ac:dyDescent="0.25">
      <c r="F45">
        <v>44</v>
      </c>
      <c r="G45" t="s">
        <v>122</v>
      </c>
      <c r="H45">
        <v>3</v>
      </c>
      <c r="K45" t="str">
        <v/>
      </c>
      <c r="L45" t="str">
        <v/>
      </c>
      <c r="M45" t="str">
        <v>El Bagre</v>
      </c>
      <c r="N45" t="str">
        <v/>
      </c>
      <c r="O45" t="str">
        <v/>
      </c>
      <c r="P45" t="str">
        <v>Turbaná</v>
      </c>
      <c r="Q45" t="str">
        <v>Jenesano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Guayabal de Síquima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Policarpa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>Jordán</v>
      </c>
      <c r="AM45" t="str">
        <v/>
      </c>
      <c r="AN45" t="str">
        <v>Villarrica</v>
      </c>
      <c r="AO45" t="str">
        <v/>
      </c>
      <c r="AP45" t="str">
        <v/>
      </c>
      <c r="AQ45" t="str">
        <v/>
      </c>
    </row>
    <row r="46" spans="2:43" x14ac:dyDescent="0.25">
      <c r="F46">
        <v>45</v>
      </c>
      <c r="G46" t="s">
        <v>123</v>
      </c>
      <c r="H46">
        <v>3</v>
      </c>
      <c r="K46" t="str">
        <v/>
      </c>
      <c r="L46" t="str">
        <v/>
      </c>
      <c r="M46" t="str">
        <v>El Carmen de Viboral</v>
      </c>
      <c r="N46" t="str">
        <v/>
      </c>
      <c r="O46" t="str">
        <v/>
      </c>
      <c r="P46" t="str">
        <v>Villanueva</v>
      </c>
      <c r="Q46" t="str">
        <v>Jericó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Guayabetal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Potosí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>La Belleza</v>
      </c>
      <c r="AM46" t="str">
        <v/>
      </c>
      <c r="AN46" t="str">
        <v/>
      </c>
      <c r="AO46" t="str">
        <v/>
      </c>
      <c r="AP46" t="str">
        <v/>
      </c>
      <c r="AQ46" t="str">
        <v/>
      </c>
    </row>
    <row r="47" spans="2:43" x14ac:dyDescent="0.25">
      <c r="F47">
        <v>46</v>
      </c>
      <c r="G47" t="s">
        <v>124</v>
      </c>
      <c r="H47">
        <v>3</v>
      </c>
      <c r="K47" t="str">
        <v/>
      </c>
      <c r="L47" t="str">
        <v/>
      </c>
      <c r="M47" t="str">
        <v>El Peñol</v>
      </c>
      <c r="N47" t="str">
        <v/>
      </c>
      <c r="O47" t="str">
        <v/>
      </c>
      <c r="P47" t="str">
        <v>Zambrano</v>
      </c>
      <c r="Q47" t="str">
        <v>La Capilla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Gutiérrez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Providencia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>La Paz</v>
      </c>
      <c r="AM47" t="str">
        <v/>
      </c>
      <c r="AN47" t="str">
        <v/>
      </c>
      <c r="AO47" t="str">
        <v/>
      </c>
      <c r="AP47" t="str">
        <v/>
      </c>
      <c r="AQ47" t="str">
        <v/>
      </c>
    </row>
    <row r="48" spans="2:43" x14ac:dyDescent="0.25">
      <c r="F48">
        <v>47</v>
      </c>
      <c r="G48" t="s">
        <v>125</v>
      </c>
      <c r="H48">
        <v>3</v>
      </c>
      <c r="K48" t="str">
        <v/>
      </c>
      <c r="L48" t="str">
        <v/>
      </c>
      <c r="M48" t="str">
        <v>El Retiro</v>
      </c>
      <c r="N48" t="str">
        <v/>
      </c>
      <c r="O48" t="str">
        <v/>
      </c>
      <c r="P48" t="str">
        <v/>
      </c>
      <c r="Q48" t="str">
        <v>La Uvita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Jerusalén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Puerres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>Landázuri</v>
      </c>
      <c r="AM48" t="str">
        <v/>
      </c>
      <c r="AN48" t="str">
        <v/>
      </c>
      <c r="AO48" t="str">
        <v/>
      </c>
      <c r="AP48" t="str">
        <v/>
      </c>
      <c r="AQ48" t="str">
        <v/>
      </c>
    </row>
    <row r="49" spans="6:43" x14ac:dyDescent="0.25">
      <c r="F49">
        <v>48</v>
      </c>
      <c r="G49" t="s">
        <v>126</v>
      </c>
      <c r="H49">
        <v>3</v>
      </c>
      <c r="K49" t="str">
        <v/>
      </c>
      <c r="L49" t="str">
        <v/>
      </c>
      <c r="M49" t="str">
        <v>El Santuario</v>
      </c>
      <c r="N49" t="str">
        <v/>
      </c>
      <c r="O49" t="str">
        <v/>
      </c>
      <c r="P49" t="str">
        <v/>
      </c>
      <c r="Q49" t="str">
        <v>La Victoria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Junín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Pupiales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>Lebrija</v>
      </c>
      <c r="AM49" t="str">
        <v/>
      </c>
      <c r="AN49" t="str">
        <v/>
      </c>
      <c r="AO49" t="str">
        <v/>
      </c>
      <c r="AP49" t="str">
        <v/>
      </c>
      <c r="AQ49" t="str">
        <v/>
      </c>
    </row>
    <row r="50" spans="6:43" x14ac:dyDescent="0.25">
      <c r="F50">
        <v>49</v>
      </c>
      <c r="G50" t="s">
        <v>127</v>
      </c>
      <c r="H50">
        <v>3</v>
      </c>
      <c r="K50" t="str">
        <v/>
      </c>
      <c r="L50" t="str">
        <v/>
      </c>
      <c r="M50" t="str">
        <v>Entrerríos</v>
      </c>
      <c r="N50" t="str">
        <v/>
      </c>
      <c r="O50" t="str">
        <v/>
      </c>
      <c r="P50" t="str">
        <v/>
      </c>
      <c r="Q50" t="str">
        <v>Labranzagrande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La Calera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Ricaurte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>Los Santos</v>
      </c>
      <c r="AM50" t="str">
        <v/>
      </c>
      <c r="AN50" t="str">
        <v/>
      </c>
      <c r="AO50" t="str">
        <v/>
      </c>
      <c r="AP50" t="str">
        <v/>
      </c>
      <c r="AQ50" t="str">
        <v/>
      </c>
    </row>
    <row r="51" spans="6:43" x14ac:dyDescent="0.25">
      <c r="F51">
        <v>50</v>
      </c>
      <c r="G51" t="s">
        <v>128</v>
      </c>
      <c r="H51">
        <v>3</v>
      </c>
      <c r="K51" t="str">
        <v/>
      </c>
      <c r="L51" t="str">
        <v/>
      </c>
      <c r="M51" t="str">
        <v>Envigado</v>
      </c>
      <c r="N51" t="str">
        <v/>
      </c>
      <c r="O51" t="str">
        <v/>
      </c>
      <c r="P51" t="str">
        <v/>
      </c>
      <c r="Q51" t="str">
        <v>Macanal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La Mesa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Roberto Payán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>Macaravita</v>
      </c>
      <c r="AM51" t="str">
        <v/>
      </c>
      <c r="AN51" t="str">
        <v/>
      </c>
      <c r="AO51" t="str">
        <v/>
      </c>
      <c r="AP51" t="str">
        <v/>
      </c>
      <c r="AQ51" t="str">
        <v/>
      </c>
    </row>
    <row r="52" spans="6:43" x14ac:dyDescent="0.25">
      <c r="F52">
        <v>51</v>
      </c>
      <c r="G52" t="s">
        <v>129</v>
      </c>
      <c r="H52">
        <v>3</v>
      </c>
      <c r="K52" t="str">
        <v/>
      </c>
      <c r="L52" t="str">
        <v/>
      </c>
      <c r="M52" t="str">
        <v>Fredonia</v>
      </c>
      <c r="N52" t="str">
        <v/>
      </c>
      <c r="O52" t="str">
        <v/>
      </c>
      <c r="P52" t="str">
        <v/>
      </c>
      <c r="Q52" t="str">
        <v>Maní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La Palma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Samaniego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>Málaga</v>
      </c>
      <c r="AM52" t="str">
        <v/>
      </c>
      <c r="AN52" t="str">
        <v/>
      </c>
      <c r="AO52" t="str">
        <v/>
      </c>
      <c r="AP52" t="str">
        <v/>
      </c>
      <c r="AQ52" t="str">
        <v/>
      </c>
    </row>
    <row r="53" spans="6:43" x14ac:dyDescent="0.25">
      <c r="F53">
        <v>52</v>
      </c>
      <c r="G53" t="s">
        <v>130</v>
      </c>
      <c r="H53">
        <v>3</v>
      </c>
      <c r="K53" t="str">
        <v/>
      </c>
      <c r="L53" t="str">
        <v/>
      </c>
      <c r="M53" t="str">
        <v>Frontino</v>
      </c>
      <c r="N53" t="str">
        <v/>
      </c>
      <c r="O53" t="str">
        <v/>
      </c>
      <c r="P53" t="str">
        <v/>
      </c>
      <c r="Q53" t="str">
        <v>Maripí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La Peña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Sandoná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>Matanza</v>
      </c>
      <c r="AM53" t="str">
        <v/>
      </c>
      <c r="AN53" t="str">
        <v/>
      </c>
      <c r="AO53" t="str">
        <v/>
      </c>
      <c r="AP53" t="str">
        <v/>
      </c>
      <c r="AQ53" t="str">
        <v/>
      </c>
    </row>
    <row r="54" spans="6:43" x14ac:dyDescent="0.25">
      <c r="F54">
        <v>53</v>
      </c>
      <c r="G54" t="s">
        <v>131</v>
      </c>
      <c r="H54">
        <v>3</v>
      </c>
      <c r="K54" t="str">
        <v/>
      </c>
      <c r="L54" t="str">
        <v/>
      </c>
      <c r="M54" t="str">
        <v>Giraldo</v>
      </c>
      <c r="N54" t="str">
        <v/>
      </c>
      <c r="O54" t="str">
        <v/>
      </c>
      <c r="P54" t="str">
        <v/>
      </c>
      <c r="Q54" t="str">
        <v>Miraflores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La Vega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San Bernardo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>Mogotes</v>
      </c>
      <c r="AM54" t="str">
        <v/>
      </c>
      <c r="AN54" t="str">
        <v/>
      </c>
      <c r="AO54" t="str">
        <v/>
      </c>
      <c r="AP54" t="str">
        <v/>
      </c>
      <c r="AQ54" t="str">
        <v/>
      </c>
    </row>
    <row r="55" spans="6:43" x14ac:dyDescent="0.25">
      <c r="F55">
        <v>54</v>
      </c>
      <c r="G55" t="s">
        <v>132</v>
      </c>
      <c r="H55">
        <v>3</v>
      </c>
      <c r="K55" t="str">
        <v/>
      </c>
      <c r="L55" t="str">
        <v/>
      </c>
      <c r="M55" t="str">
        <v>Gómez Plata</v>
      </c>
      <c r="N55" t="str">
        <v/>
      </c>
      <c r="O55" t="str">
        <v/>
      </c>
      <c r="P55" t="str">
        <v/>
      </c>
      <c r="Q55" t="str">
        <v>Mongua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Lenguazaque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>San Lorenzo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>Molagavita</v>
      </c>
      <c r="AM55" t="str">
        <v/>
      </c>
      <c r="AN55" t="str">
        <v/>
      </c>
      <c r="AO55" t="str">
        <v/>
      </c>
      <c r="AP55" t="str">
        <v/>
      </c>
      <c r="AQ55" t="str">
        <v/>
      </c>
    </row>
    <row r="56" spans="6:43" x14ac:dyDescent="0.25">
      <c r="F56">
        <v>55</v>
      </c>
      <c r="G56" t="s">
        <v>133</v>
      </c>
      <c r="H56">
        <v>3</v>
      </c>
      <c r="K56" t="str">
        <v/>
      </c>
      <c r="L56" t="str">
        <v/>
      </c>
      <c r="M56" t="str">
        <v>Granada</v>
      </c>
      <c r="N56" t="str">
        <v/>
      </c>
      <c r="O56" t="str">
        <v/>
      </c>
      <c r="P56" t="str">
        <v/>
      </c>
      <c r="Q56" t="str">
        <v>Monguí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Machetá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San Pablo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>Ocamonte</v>
      </c>
      <c r="AM56" t="str">
        <v/>
      </c>
      <c r="AN56" t="str">
        <v/>
      </c>
      <c r="AO56" t="str">
        <v/>
      </c>
      <c r="AP56" t="str">
        <v/>
      </c>
      <c r="AQ56" t="str">
        <v/>
      </c>
    </row>
    <row r="57" spans="6:43" x14ac:dyDescent="0.25">
      <c r="F57">
        <v>56</v>
      </c>
      <c r="G57" t="s">
        <v>134</v>
      </c>
      <c r="H57">
        <v>3</v>
      </c>
      <c r="K57" t="str">
        <v/>
      </c>
      <c r="L57" t="str">
        <v/>
      </c>
      <c r="M57" t="str">
        <v>Guadalupe</v>
      </c>
      <c r="N57" t="str">
        <v/>
      </c>
      <c r="O57" t="str">
        <v/>
      </c>
      <c r="P57" t="str">
        <v/>
      </c>
      <c r="Q57" t="str">
        <v>Moniquirá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Madrid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>San Pedro de Cartago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>Oiba</v>
      </c>
      <c r="AM57" t="str">
        <v/>
      </c>
      <c r="AN57" t="str">
        <v/>
      </c>
      <c r="AO57" t="str">
        <v/>
      </c>
      <c r="AP57" t="str">
        <v/>
      </c>
      <c r="AQ57" t="str">
        <v/>
      </c>
    </row>
    <row r="58" spans="6:43" x14ac:dyDescent="0.25">
      <c r="F58">
        <v>57</v>
      </c>
      <c r="G58" t="s">
        <v>135</v>
      </c>
      <c r="H58">
        <v>3</v>
      </c>
      <c r="K58" t="str">
        <v/>
      </c>
      <c r="L58" t="str">
        <v/>
      </c>
      <c r="M58" t="str">
        <v>Guarne</v>
      </c>
      <c r="N58" t="str">
        <v/>
      </c>
      <c r="O58" t="str">
        <v/>
      </c>
      <c r="P58" t="str">
        <v/>
      </c>
      <c r="Q58" t="str">
        <v>Motavita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Manta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Santa Bárbara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>Onzaga</v>
      </c>
      <c r="AM58" t="str">
        <v/>
      </c>
      <c r="AN58" t="str">
        <v/>
      </c>
      <c r="AO58" t="str">
        <v/>
      </c>
      <c r="AP58" t="str">
        <v/>
      </c>
      <c r="AQ58" t="str">
        <v/>
      </c>
    </row>
    <row r="59" spans="6:43" x14ac:dyDescent="0.25">
      <c r="F59">
        <v>58</v>
      </c>
      <c r="G59" t="s">
        <v>136</v>
      </c>
      <c r="H59">
        <v>3</v>
      </c>
      <c r="K59" t="str">
        <v/>
      </c>
      <c r="L59" t="str">
        <v/>
      </c>
      <c r="M59" t="str">
        <v>Guatapé</v>
      </c>
      <c r="N59" t="str">
        <v/>
      </c>
      <c r="O59" t="str">
        <v/>
      </c>
      <c r="P59" t="str">
        <v/>
      </c>
      <c r="Q59" t="str">
        <v>Muzo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Medina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Santacruz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>Palmar</v>
      </c>
      <c r="AM59" t="str">
        <v/>
      </c>
      <c r="AN59" t="str">
        <v/>
      </c>
      <c r="AO59" t="str">
        <v/>
      </c>
      <c r="AP59" t="str">
        <v/>
      </c>
      <c r="AQ59" t="str">
        <v/>
      </c>
    </row>
    <row r="60" spans="6:43" x14ac:dyDescent="0.25">
      <c r="F60">
        <v>59</v>
      </c>
      <c r="G60" t="s">
        <v>137</v>
      </c>
      <c r="H60">
        <v>3</v>
      </c>
      <c r="K60" t="str">
        <v/>
      </c>
      <c r="L60" t="str">
        <v/>
      </c>
      <c r="M60" t="str">
        <v>Heliconia</v>
      </c>
      <c r="N60" t="str">
        <v/>
      </c>
      <c r="O60" t="str">
        <v/>
      </c>
      <c r="P60" t="str">
        <v/>
      </c>
      <c r="Q60" t="str">
        <v>Nobsa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Mosquera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>Sapuyes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>Palmas del Socorro</v>
      </c>
      <c r="AM60" t="str">
        <v/>
      </c>
      <c r="AN60" t="str">
        <v/>
      </c>
      <c r="AO60" t="str">
        <v/>
      </c>
      <c r="AP60" t="str">
        <v/>
      </c>
      <c r="AQ60" t="str">
        <v/>
      </c>
    </row>
    <row r="61" spans="6:43" x14ac:dyDescent="0.25">
      <c r="F61">
        <v>60</v>
      </c>
      <c r="G61" t="s">
        <v>138</v>
      </c>
      <c r="H61">
        <v>3</v>
      </c>
      <c r="K61" t="str">
        <v/>
      </c>
      <c r="L61" t="str">
        <v/>
      </c>
      <c r="M61" t="str">
        <v>Hispania</v>
      </c>
      <c r="N61" t="str">
        <v/>
      </c>
      <c r="O61" t="str">
        <v/>
      </c>
      <c r="P61" t="str">
        <v/>
      </c>
      <c r="Q61" t="str">
        <v>Nuevo Colón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Nariño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>Taminango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>Páramo</v>
      </c>
      <c r="AM61" t="str">
        <v/>
      </c>
      <c r="AN61" t="str">
        <v/>
      </c>
      <c r="AO61" t="str">
        <v/>
      </c>
      <c r="AP61" t="str">
        <v/>
      </c>
      <c r="AQ61" t="str">
        <v/>
      </c>
    </row>
    <row r="62" spans="6:43" x14ac:dyDescent="0.25">
      <c r="F62">
        <v>61</v>
      </c>
      <c r="G62" t="s">
        <v>139</v>
      </c>
      <c r="H62">
        <v>3</v>
      </c>
      <c r="K62" t="str">
        <v/>
      </c>
      <c r="L62" t="str">
        <v/>
      </c>
      <c r="M62" t="str">
        <v>Itagüí</v>
      </c>
      <c r="N62" t="str">
        <v/>
      </c>
      <c r="O62" t="str">
        <v/>
      </c>
      <c r="P62" t="str">
        <v/>
      </c>
      <c r="Q62" t="str">
        <v>Oicatá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Nemocón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Tanguá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>Piedecuesta</v>
      </c>
      <c r="AM62" t="str">
        <v/>
      </c>
      <c r="AN62" t="str">
        <v/>
      </c>
      <c r="AO62" t="str">
        <v/>
      </c>
      <c r="AP62" t="str">
        <v/>
      </c>
      <c r="AQ62" t="str">
        <v/>
      </c>
    </row>
    <row r="63" spans="6:43" x14ac:dyDescent="0.25">
      <c r="F63">
        <v>62</v>
      </c>
      <c r="G63" t="s">
        <v>140</v>
      </c>
      <c r="H63">
        <v>3</v>
      </c>
      <c r="K63" t="str">
        <v/>
      </c>
      <c r="L63" t="str">
        <v/>
      </c>
      <c r="M63" t="str">
        <v>Ituango</v>
      </c>
      <c r="N63" t="str">
        <v/>
      </c>
      <c r="O63" t="str">
        <v/>
      </c>
      <c r="P63" t="str">
        <v/>
      </c>
      <c r="Q63" t="str">
        <v>Otanche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Nilo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>Tumaco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>Pinchote</v>
      </c>
      <c r="AM63" t="str">
        <v/>
      </c>
      <c r="AN63" t="str">
        <v/>
      </c>
      <c r="AO63" t="str">
        <v/>
      </c>
      <c r="AP63" t="str">
        <v/>
      </c>
      <c r="AQ63" t="str">
        <v/>
      </c>
    </row>
    <row r="64" spans="6:43" x14ac:dyDescent="0.25">
      <c r="F64">
        <v>63</v>
      </c>
      <c r="G64" t="s">
        <v>141</v>
      </c>
      <c r="H64">
        <v>3</v>
      </c>
      <c r="K64" t="str">
        <v/>
      </c>
      <c r="L64" t="str">
        <v/>
      </c>
      <c r="M64" t="str">
        <v>Jardín</v>
      </c>
      <c r="N64" t="str">
        <v/>
      </c>
      <c r="O64" t="str">
        <v/>
      </c>
      <c r="P64" t="str">
        <v/>
      </c>
      <c r="Q64" t="str">
        <v>Pachavita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Nimaima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Túquerres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>Puerto Parra</v>
      </c>
      <c r="AM64" t="str">
        <v/>
      </c>
      <c r="AN64" t="str">
        <v/>
      </c>
      <c r="AO64" t="str">
        <v/>
      </c>
      <c r="AP64" t="str">
        <v/>
      </c>
      <c r="AQ64" t="str">
        <v/>
      </c>
    </row>
    <row r="65" spans="6:43" x14ac:dyDescent="0.25">
      <c r="F65">
        <v>64</v>
      </c>
      <c r="G65" t="s">
        <v>142</v>
      </c>
      <c r="H65">
        <v>3</v>
      </c>
      <c r="K65" t="str">
        <v/>
      </c>
      <c r="L65" t="str">
        <v/>
      </c>
      <c r="M65" t="str">
        <v>Jericó</v>
      </c>
      <c r="N65" t="str">
        <v/>
      </c>
      <c r="O65" t="str">
        <v/>
      </c>
      <c r="P65" t="str">
        <v/>
      </c>
      <c r="Q65" t="str">
        <v>Páez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Nocaima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>Yacuanquer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>Puerto Wilches</v>
      </c>
      <c r="AM65" t="str">
        <v/>
      </c>
      <c r="AN65" t="str">
        <v/>
      </c>
      <c r="AO65" t="str">
        <v/>
      </c>
      <c r="AP65" t="str">
        <v/>
      </c>
      <c r="AQ65" t="str">
        <v/>
      </c>
    </row>
    <row r="66" spans="6:43" x14ac:dyDescent="0.25">
      <c r="F66">
        <v>65</v>
      </c>
      <c r="G66" t="s">
        <v>143</v>
      </c>
      <c r="H66">
        <v>3</v>
      </c>
      <c r="K66" t="str">
        <v/>
      </c>
      <c r="L66" t="str">
        <v/>
      </c>
      <c r="M66" t="str">
        <v>La Ceja</v>
      </c>
      <c r="N66" t="str">
        <v/>
      </c>
      <c r="O66" t="str">
        <v/>
      </c>
      <c r="P66" t="str">
        <v/>
      </c>
      <c r="Q66" t="str">
        <v>Paipa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Pacho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>Puente Nacional</v>
      </c>
      <c r="AM66" t="str">
        <v/>
      </c>
      <c r="AN66" t="str">
        <v/>
      </c>
      <c r="AO66" t="str">
        <v/>
      </c>
      <c r="AP66" t="str">
        <v/>
      </c>
      <c r="AQ66" t="str">
        <v/>
      </c>
    </row>
    <row r="67" spans="6:43" x14ac:dyDescent="0.25">
      <c r="F67">
        <v>66</v>
      </c>
      <c r="G67" t="s">
        <v>144</v>
      </c>
      <c r="H67">
        <v>3</v>
      </c>
      <c r="K67" t="str">
        <v/>
      </c>
      <c r="L67" t="str">
        <v/>
      </c>
      <c r="M67" t="str">
        <v>La Estrella</v>
      </c>
      <c r="N67" t="str">
        <v/>
      </c>
      <c r="O67" t="str">
        <v/>
      </c>
      <c r="P67" t="str">
        <v/>
      </c>
      <c r="Q67" t="str">
        <v>Pajarito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Paime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>Rionegro</v>
      </c>
      <c r="AM67" t="str">
        <v/>
      </c>
      <c r="AN67" t="str">
        <v/>
      </c>
      <c r="AO67" t="str">
        <v/>
      </c>
      <c r="AP67" t="str">
        <v/>
      </c>
      <c r="AQ67" t="str">
        <v/>
      </c>
    </row>
    <row r="68" spans="6:43" x14ac:dyDescent="0.25">
      <c r="F68">
        <v>67</v>
      </c>
      <c r="G68" t="s">
        <v>145</v>
      </c>
      <c r="H68">
        <v>3</v>
      </c>
      <c r="K68" t="str">
        <v/>
      </c>
      <c r="L68" t="str">
        <v/>
      </c>
      <c r="M68" t="str">
        <v>La Pintada</v>
      </c>
      <c r="N68" t="str">
        <v/>
      </c>
      <c r="O68" t="str">
        <v/>
      </c>
      <c r="P68" t="str">
        <v/>
      </c>
      <c r="Q68" t="str">
        <v>Panqueba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Pandi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>Sabana de Torres</v>
      </c>
      <c r="AM68" t="str">
        <v/>
      </c>
      <c r="AN68" t="str">
        <v/>
      </c>
      <c r="AO68" t="str">
        <v/>
      </c>
      <c r="AP68" t="str">
        <v/>
      </c>
      <c r="AQ68" t="str">
        <v/>
      </c>
    </row>
    <row r="69" spans="6:43" x14ac:dyDescent="0.25">
      <c r="F69">
        <v>68</v>
      </c>
      <c r="G69" t="s">
        <v>146</v>
      </c>
      <c r="H69">
        <v>3</v>
      </c>
      <c r="K69" t="str">
        <v/>
      </c>
      <c r="L69" t="str">
        <v/>
      </c>
      <c r="M69" t="str">
        <v>La Unión</v>
      </c>
      <c r="N69" t="str">
        <v/>
      </c>
      <c r="O69" t="str">
        <v/>
      </c>
      <c r="P69" t="str">
        <v/>
      </c>
      <c r="Q69" t="str">
        <v>Pauna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Paratebueno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>San Andrés</v>
      </c>
      <c r="AM69" t="str">
        <v/>
      </c>
      <c r="AN69" t="str">
        <v/>
      </c>
      <c r="AO69" t="str">
        <v/>
      </c>
      <c r="AP69" t="str">
        <v/>
      </c>
      <c r="AQ69" t="str">
        <v/>
      </c>
    </row>
    <row r="70" spans="6:43" x14ac:dyDescent="0.25">
      <c r="F70">
        <v>69</v>
      </c>
      <c r="G70" t="s">
        <v>147</v>
      </c>
      <c r="H70">
        <v>3</v>
      </c>
      <c r="K70" t="str">
        <v/>
      </c>
      <c r="L70" t="str">
        <v/>
      </c>
      <c r="M70" t="str">
        <v>Liborina</v>
      </c>
      <c r="N70" t="str">
        <v/>
      </c>
      <c r="O70" t="str">
        <v/>
      </c>
      <c r="P70" t="str">
        <v/>
      </c>
      <c r="Q70" t="str">
        <v>Paya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Pasca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>San Benito</v>
      </c>
      <c r="AM70" t="str">
        <v/>
      </c>
      <c r="AN70" t="str">
        <v/>
      </c>
      <c r="AO70" t="str">
        <v/>
      </c>
      <c r="AP70" t="str">
        <v/>
      </c>
      <c r="AQ70" t="str">
        <v/>
      </c>
    </row>
    <row r="71" spans="6:43" x14ac:dyDescent="0.25">
      <c r="F71">
        <v>70</v>
      </c>
      <c r="G71" t="s">
        <v>148</v>
      </c>
      <c r="H71">
        <v>3</v>
      </c>
      <c r="K71" t="str">
        <v/>
      </c>
      <c r="L71" t="str">
        <v/>
      </c>
      <c r="M71" t="str">
        <v>Maceo</v>
      </c>
      <c r="N71" t="str">
        <v/>
      </c>
      <c r="O71" t="str">
        <v/>
      </c>
      <c r="P71" t="str">
        <v/>
      </c>
      <c r="Q71" t="str">
        <v>Paz de Río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>Puerto Salgar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>San Gil</v>
      </c>
      <c r="AM71" t="str">
        <v/>
      </c>
      <c r="AN71" t="str">
        <v/>
      </c>
      <c r="AO71" t="str">
        <v/>
      </c>
      <c r="AP71" t="str">
        <v/>
      </c>
      <c r="AQ71" t="str">
        <v/>
      </c>
    </row>
    <row r="72" spans="6:43" x14ac:dyDescent="0.25">
      <c r="F72">
        <v>71</v>
      </c>
      <c r="G72" t="s">
        <v>149</v>
      </c>
      <c r="H72">
        <v>3</v>
      </c>
      <c r="K72" t="str">
        <v/>
      </c>
      <c r="L72" t="str">
        <v/>
      </c>
      <c r="M72" t="str">
        <v>Marinilla</v>
      </c>
      <c r="N72" t="str">
        <v/>
      </c>
      <c r="O72" t="str">
        <v/>
      </c>
      <c r="P72" t="str">
        <v/>
      </c>
      <c r="Q72" t="str">
        <v>Pesca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Pulí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>San Joaquín</v>
      </c>
      <c r="AM72" t="str">
        <v/>
      </c>
      <c r="AN72" t="str">
        <v/>
      </c>
      <c r="AO72" t="str">
        <v/>
      </c>
      <c r="AP72" t="str">
        <v/>
      </c>
      <c r="AQ72" t="str">
        <v/>
      </c>
    </row>
    <row r="73" spans="6:43" x14ac:dyDescent="0.25">
      <c r="F73">
        <v>72</v>
      </c>
      <c r="G73" t="s">
        <v>150</v>
      </c>
      <c r="H73">
        <v>3</v>
      </c>
      <c r="K73" t="str">
        <v/>
      </c>
      <c r="L73" t="str">
        <v/>
      </c>
      <c r="M73" t="str">
        <v>Montebello</v>
      </c>
      <c r="N73" t="str">
        <v/>
      </c>
      <c r="O73" t="str">
        <v/>
      </c>
      <c r="P73" t="str">
        <v/>
      </c>
      <c r="Q73" t="str">
        <v>Pisba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Quebradanegra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>San José de Miranda</v>
      </c>
      <c r="AM73" t="str">
        <v/>
      </c>
      <c r="AN73" t="str">
        <v/>
      </c>
      <c r="AO73" t="str">
        <v/>
      </c>
      <c r="AP73" t="str">
        <v/>
      </c>
      <c r="AQ73" t="str">
        <v/>
      </c>
    </row>
    <row r="74" spans="6:43" x14ac:dyDescent="0.25">
      <c r="F74">
        <v>73</v>
      </c>
      <c r="G74" t="s">
        <v>151</v>
      </c>
      <c r="H74">
        <v>3</v>
      </c>
      <c r="K74" t="str">
        <v/>
      </c>
      <c r="L74" t="str">
        <v/>
      </c>
      <c r="M74" t="str">
        <v>Murindó</v>
      </c>
      <c r="N74" t="str">
        <v/>
      </c>
      <c r="O74" t="str">
        <v/>
      </c>
      <c r="P74" t="str">
        <v/>
      </c>
      <c r="Q74" t="str">
        <v>Puerto Boyacá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Quetame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>San Miguel</v>
      </c>
      <c r="AM74" t="str">
        <v/>
      </c>
      <c r="AN74" t="str">
        <v/>
      </c>
      <c r="AO74" t="str">
        <v/>
      </c>
      <c r="AP74" t="str">
        <v/>
      </c>
      <c r="AQ74" t="str">
        <v/>
      </c>
    </row>
    <row r="75" spans="6:43" x14ac:dyDescent="0.25">
      <c r="F75">
        <v>74</v>
      </c>
      <c r="G75" t="s">
        <v>152</v>
      </c>
      <c r="H75">
        <v>3</v>
      </c>
      <c r="K75" t="str">
        <v/>
      </c>
      <c r="L75" t="str">
        <v/>
      </c>
      <c r="M75" t="str">
        <v>Mutatá</v>
      </c>
      <c r="N75" t="str">
        <v/>
      </c>
      <c r="O75" t="str">
        <v/>
      </c>
      <c r="P75" t="str">
        <v/>
      </c>
      <c r="Q75" t="str">
        <v>Quípama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Quipile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San Vicente de Chucurí</v>
      </c>
      <c r="AM75" t="str">
        <v/>
      </c>
      <c r="AN75" t="str">
        <v/>
      </c>
      <c r="AO75" t="str">
        <v/>
      </c>
      <c r="AP75" t="str">
        <v/>
      </c>
      <c r="AQ75" t="str">
        <v/>
      </c>
    </row>
    <row r="76" spans="6:43" x14ac:dyDescent="0.25">
      <c r="F76">
        <v>75</v>
      </c>
      <c r="G76" t="s">
        <v>153</v>
      </c>
      <c r="H76">
        <v>3</v>
      </c>
      <c r="K76" t="str">
        <v/>
      </c>
      <c r="L76" t="str">
        <v/>
      </c>
      <c r="M76" t="str">
        <v>Nariño</v>
      </c>
      <c r="N76" t="str">
        <v/>
      </c>
      <c r="O76" t="str">
        <v/>
      </c>
      <c r="P76" t="str">
        <v/>
      </c>
      <c r="Q76" t="str">
        <v>Ramiriquí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Ricaurte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>Santa Bárbara</v>
      </c>
      <c r="AM76" t="str">
        <v/>
      </c>
      <c r="AN76" t="str">
        <v/>
      </c>
      <c r="AO76" t="str">
        <v/>
      </c>
      <c r="AP76" t="str">
        <v/>
      </c>
      <c r="AQ76" t="str">
        <v/>
      </c>
    </row>
    <row r="77" spans="6:43" x14ac:dyDescent="0.25">
      <c r="F77">
        <v>76</v>
      </c>
      <c r="G77" t="s">
        <v>154</v>
      </c>
      <c r="H77">
        <v>3</v>
      </c>
      <c r="K77" t="str">
        <v/>
      </c>
      <c r="L77" t="str">
        <v/>
      </c>
      <c r="M77" t="str">
        <v>Nechí</v>
      </c>
      <c r="N77" t="str">
        <v/>
      </c>
      <c r="O77" t="str">
        <v/>
      </c>
      <c r="P77" t="str">
        <v/>
      </c>
      <c r="Q77" t="str">
        <v>Ráquira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San Antonio del Tequendama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>Santa Helena del Opón</v>
      </c>
      <c r="AM77" t="str">
        <v/>
      </c>
      <c r="AN77" t="str">
        <v/>
      </c>
      <c r="AO77" t="str">
        <v/>
      </c>
      <c r="AP77" t="str">
        <v/>
      </c>
      <c r="AQ77" t="str">
        <v/>
      </c>
    </row>
    <row r="78" spans="6:43" x14ac:dyDescent="0.25">
      <c r="F78">
        <v>77</v>
      </c>
      <c r="G78" t="s">
        <v>155</v>
      </c>
      <c r="H78">
        <v>3</v>
      </c>
      <c r="K78" t="str">
        <v/>
      </c>
      <c r="L78" t="str">
        <v/>
      </c>
      <c r="M78" t="str">
        <v>Necoclí</v>
      </c>
      <c r="N78" t="str">
        <v/>
      </c>
      <c r="O78" t="str">
        <v/>
      </c>
      <c r="P78" t="str">
        <v/>
      </c>
      <c r="Q78" t="str">
        <v>Recetor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San Bernardo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>Simacota</v>
      </c>
      <c r="AM78" t="str">
        <v/>
      </c>
      <c r="AN78" t="str">
        <v/>
      </c>
      <c r="AO78" t="str">
        <v/>
      </c>
      <c r="AP78" t="str">
        <v/>
      </c>
      <c r="AQ78" t="str">
        <v/>
      </c>
    </row>
    <row r="79" spans="6:43" x14ac:dyDescent="0.25">
      <c r="F79">
        <v>78</v>
      </c>
      <c r="G79" t="s">
        <v>156</v>
      </c>
      <c r="H79">
        <v>3</v>
      </c>
      <c r="K79" t="str">
        <v/>
      </c>
      <c r="L79" t="str">
        <v/>
      </c>
      <c r="M79" t="str">
        <v>Olaya Herrera</v>
      </c>
      <c r="N79" t="str">
        <v/>
      </c>
      <c r="O79" t="str">
        <v/>
      </c>
      <c r="P79" t="str">
        <v/>
      </c>
      <c r="Q79" t="str">
        <v>Rondón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San Cayetano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>El Socorro</v>
      </c>
      <c r="AM79" t="str">
        <v/>
      </c>
      <c r="AN79" t="str">
        <v/>
      </c>
      <c r="AO79" t="str">
        <v/>
      </c>
      <c r="AP79" t="str">
        <v/>
      </c>
      <c r="AQ79" t="str">
        <v/>
      </c>
    </row>
    <row r="80" spans="6:43" x14ac:dyDescent="0.25">
      <c r="F80">
        <v>79</v>
      </c>
      <c r="G80" t="s">
        <v>157</v>
      </c>
      <c r="H80">
        <v>3</v>
      </c>
      <c r="K80" t="str">
        <v/>
      </c>
      <c r="L80" t="str">
        <v/>
      </c>
      <c r="M80" t="str">
        <v>Peque</v>
      </c>
      <c r="N80" t="str">
        <v/>
      </c>
      <c r="O80" t="str">
        <v/>
      </c>
      <c r="P80" t="str">
        <v/>
      </c>
      <c r="Q80" t="str">
        <v>Saboyá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>San Francisco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>San José de Suaita</v>
      </c>
      <c r="AM80" t="str">
        <v/>
      </c>
      <c r="AN80" t="str">
        <v/>
      </c>
      <c r="AO80" t="str">
        <v/>
      </c>
      <c r="AP80" t="str">
        <v/>
      </c>
      <c r="AQ80" t="str">
        <v/>
      </c>
    </row>
    <row r="81" spans="6:43" x14ac:dyDescent="0.25">
      <c r="F81">
        <v>80</v>
      </c>
      <c r="G81" t="s">
        <v>158</v>
      </c>
      <c r="H81">
        <v>3</v>
      </c>
      <c r="K81" t="str">
        <v/>
      </c>
      <c r="L81" t="str">
        <v/>
      </c>
      <c r="M81" t="str">
        <v>Pueblorrico</v>
      </c>
      <c r="N81" t="str">
        <v/>
      </c>
      <c r="O81" t="str">
        <v/>
      </c>
      <c r="P81" t="str">
        <v/>
      </c>
      <c r="Q81" t="str">
        <v>Sáchica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>San Juan de Rioseco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>Sucre</v>
      </c>
      <c r="AM81" t="str">
        <v/>
      </c>
      <c r="AN81" t="str">
        <v/>
      </c>
      <c r="AO81" t="str">
        <v/>
      </c>
      <c r="AP81" t="str">
        <v/>
      </c>
      <c r="AQ81" t="str">
        <v/>
      </c>
    </row>
    <row r="82" spans="6:43" x14ac:dyDescent="0.25">
      <c r="F82">
        <v>81</v>
      </c>
      <c r="G82" t="s">
        <v>159</v>
      </c>
      <c r="H82">
        <v>3</v>
      </c>
      <c r="K82" t="str">
        <v/>
      </c>
      <c r="L82" t="str">
        <v/>
      </c>
      <c r="M82" t="str">
        <v>Puerto Berrío</v>
      </c>
      <c r="N82" t="str">
        <v/>
      </c>
      <c r="O82" t="str">
        <v/>
      </c>
      <c r="P82" t="str">
        <v/>
      </c>
      <c r="Q82" t="str">
        <v>Samacá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>Sasaima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>Suratá</v>
      </c>
      <c r="AM82" t="str">
        <v/>
      </c>
      <c r="AN82" t="str">
        <v/>
      </c>
      <c r="AO82" t="str">
        <v/>
      </c>
      <c r="AP82" t="str">
        <v/>
      </c>
      <c r="AQ82" t="str">
        <v/>
      </c>
    </row>
    <row r="83" spans="6:43" x14ac:dyDescent="0.25">
      <c r="F83">
        <v>82</v>
      </c>
      <c r="G83" t="s">
        <v>160</v>
      </c>
      <c r="H83">
        <v>3</v>
      </c>
      <c r="K83" t="str">
        <v/>
      </c>
      <c r="L83" t="str">
        <v/>
      </c>
      <c r="M83" t="str">
        <v>Puerto Claver</v>
      </c>
      <c r="N83" t="str">
        <v/>
      </c>
      <c r="O83" t="str">
        <v/>
      </c>
      <c r="P83" t="str">
        <v/>
      </c>
      <c r="Q83" t="str">
        <v>San Eduardo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Sesquilé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>Tona</v>
      </c>
      <c r="AM83" t="str">
        <v/>
      </c>
      <c r="AN83" t="str">
        <v/>
      </c>
      <c r="AO83" t="str">
        <v/>
      </c>
      <c r="AP83" t="str">
        <v/>
      </c>
      <c r="AQ83" t="str">
        <v/>
      </c>
    </row>
    <row r="84" spans="6:43" x14ac:dyDescent="0.25">
      <c r="F84">
        <v>83</v>
      </c>
      <c r="G84" t="s">
        <v>161</v>
      </c>
      <c r="H84">
        <v>3</v>
      </c>
      <c r="K84" t="str">
        <v/>
      </c>
      <c r="L84" t="str">
        <v/>
      </c>
      <c r="M84" t="str">
        <v>Puerto Nare</v>
      </c>
      <c r="N84" t="str">
        <v/>
      </c>
      <c r="O84" t="str">
        <v/>
      </c>
      <c r="P84" t="str">
        <v/>
      </c>
      <c r="Q84" t="str">
        <v>San José de Pare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>Sibaté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>Valle de San José</v>
      </c>
      <c r="AM84" t="str">
        <v/>
      </c>
      <c r="AN84" t="str">
        <v/>
      </c>
      <c r="AO84" t="str">
        <v/>
      </c>
      <c r="AP84" t="str">
        <v/>
      </c>
      <c r="AQ84" t="str">
        <v/>
      </c>
    </row>
    <row r="85" spans="6:43" x14ac:dyDescent="0.25">
      <c r="F85">
        <v>84</v>
      </c>
      <c r="G85" t="s">
        <v>162</v>
      </c>
      <c r="H85">
        <v>3</v>
      </c>
      <c r="K85" t="str">
        <v/>
      </c>
      <c r="L85" t="str">
        <v/>
      </c>
      <c r="M85" t="str">
        <v>Puerto Triunfo</v>
      </c>
      <c r="N85" t="str">
        <v/>
      </c>
      <c r="O85" t="str">
        <v/>
      </c>
      <c r="P85" t="str">
        <v/>
      </c>
      <c r="Q85" t="str">
        <v>San Luis de Gaceno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>Silvania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>Vélez</v>
      </c>
      <c r="AM85" t="str">
        <v/>
      </c>
      <c r="AN85" t="str">
        <v/>
      </c>
      <c r="AO85" t="str">
        <v/>
      </c>
      <c r="AP85" t="str">
        <v/>
      </c>
      <c r="AQ85" t="str">
        <v/>
      </c>
    </row>
    <row r="86" spans="6:43" x14ac:dyDescent="0.25">
      <c r="F86">
        <v>85</v>
      </c>
      <c r="G86" t="s">
        <v>163</v>
      </c>
      <c r="H86">
        <v>3</v>
      </c>
      <c r="K86" t="str">
        <v/>
      </c>
      <c r="L86" t="str">
        <v/>
      </c>
      <c r="M86" t="str">
        <v>Remedios</v>
      </c>
      <c r="N86" t="str">
        <v/>
      </c>
      <c r="O86" t="str">
        <v/>
      </c>
      <c r="P86" t="str">
        <v/>
      </c>
      <c r="Q86" t="str">
        <v>San Mateo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Simijaca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>Vetas</v>
      </c>
      <c r="AM86" t="str">
        <v/>
      </c>
      <c r="AN86" t="str">
        <v/>
      </c>
      <c r="AO86" t="str">
        <v/>
      </c>
      <c r="AP86" t="str">
        <v/>
      </c>
      <c r="AQ86" t="str">
        <v/>
      </c>
    </row>
    <row r="87" spans="6:43" x14ac:dyDescent="0.25">
      <c r="F87">
        <v>86</v>
      </c>
      <c r="G87" t="s">
        <v>164</v>
      </c>
      <c r="H87">
        <v>3</v>
      </c>
      <c r="K87" t="str">
        <v/>
      </c>
      <c r="L87" t="str">
        <v/>
      </c>
      <c r="M87" t="str">
        <v>Rionegro</v>
      </c>
      <c r="N87" t="str">
        <v/>
      </c>
      <c r="O87" t="str">
        <v/>
      </c>
      <c r="P87" t="str">
        <v/>
      </c>
      <c r="Q87" t="str">
        <v>San Miguel de Sema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>Soacha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>Villanueva</v>
      </c>
      <c r="AM87" t="str">
        <v/>
      </c>
      <c r="AN87" t="str">
        <v/>
      </c>
      <c r="AO87" t="str">
        <v/>
      </c>
      <c r="AP87" t="str">
        <v/>
      </c>
      <c r="AQ87" t="str">
        <v/>
      </c>
    </row>
    <row r="88" spans="6:43" x14ac:dyDescent="0.25">
      <c r="F88">
        <v>87</v>
      </c>
      <c r="G88" t="s">
        <v>72</v>
      </c>
      <c r="H88">
        <v>3</v>
      </c>
      <c r="K88" t="str">
        <v/>
      </c>
      <c r="L88" t="str">
        <v/>
      </c>
      <c r="M88" t="str">
        <v>Sabanalarga</v>
      </c>
      <c r="N88" t="str">
        <v/>
      </c>
      <c r="O88" t="str">
        <v/>
      </c>
      <c r="P88" t="str">
        <v/>
      </c>
      <c r="Q88" t="str">
        <v>San Pablo de Borbur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>Sopó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>Zapatoca</v>
      </c>
      <c r="AM88" t="str">
        <v/>
      </c>
      <c r="AN88" t="str">
        <v/>
      </c>
      <c r="AO88" t="str">
        <v/>
      </c>
      <c r="AP88" t="str">
        <v/>
      </c>
      <c r="AQ88" t="str">
        <v/>
      </c>
    </row>
    <row r="89" spans="6:43" x14ac:dyDescent="0.25">
      <c r="F89">
        <v>88</v>
      </c>
      <c r="G89" t="s">
        <v>165</v>
      </c>
      <c r="H89">
        <v>3</v>
      </c>
      <c r="K89" t="str">
        <v/>
      </c>
      <c r="L89" t="str">
        <v/>
      </c>
      <c r="M89" t="str">
        <v>Sabaneta</v>
      </c>
      <c r="N89" t="str">
        <v/>
      </c>
      <c r="O89" t="str">
        <v/>
      </c>
      <c r="P89" t="str">
        <v/>
      </c>
      <c r="Q89" t="str">
        <v>Santa María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>Subachoque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</row>
    <row r="90" spans="6:43" x14ac:dyDescent="0.25">
      <c r="F90">
        <v>89</v>
      </c>
      <c r="G90" t="s">
        <v>166</v>
      </c>
      <c r="H90">
        <v>3</v>
      </c>
      <c r="K90" t="str">
        <v/>
      </c>
      <c r="L90" t="str">
        <v/>
      </c>
      <c r="M90" t="str">
        <v>Salgar</v>
      </c>
      <c r="N90" t="str">
        <v/>
      </c>
      <c r="O90" t="str">
        <v/>
      </c>
      <c r="P90" t="str">
        <v/>
      </c>
      <c r="Q90" t="str">
        <v>Santa Rosa de Viterbo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>Suesca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</row>
    <row r="91" spans="6:43" x14ac:dyDescent="0.25">
      <c r="F91">
        <v>90</v>
      </c>
      <c r="G91" t="s">
        <v>167</v>
      </c>
      <c r="H91">
        <v>3</v>
      </c>
      <c r="K91" t="str">
        <v/>
      </c>
      <c r="L91" t="str">
        <v/>
      </c>
      <c r="M91" t="str">
        <v>San Andrés de Cuerquia</v>
      </c>
      <c r="N91" t="str">
        <v/>
      </c>
      <c r="O91" t="str">
        <v/>
      </c>
      <c r="P91" t="str">
        <v/>
      </c>
      <c r="Q91" t="str">
        <v>Santa Sofía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>Supatá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</row>
    <row r="92" spans="6:43" x14ac:dyDescent="0.25">
      <c r="F92">
        <v>91</v>
      </c>
      <c r="G92" t="s">
        <v>168</v>
      </c>
      <c r="H92">
        <v>3</v>
      </c>
      <c r="K92" t="str">
        <v/>
      </c>
      <c r="L92" t="str">
        <v/>
      </c>
      <c r="M92" t="str">
        <v>San Carlos</v>
      </c>
      <c r="N92" t="str">
        <v/>
      </c>
      <c r="O92" t="str">
        <v/>
      </c>
      <c r="P92" t="str">
        <v/>
      </c>
      <c r="Q92" t="str">
        <v>Santana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>Susa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</row>
    <row r="93" spans="6:43" x14ac:dyDescent="0.25">
      <c r="F93">
        <v>92</v>
      </c>
      <c r="G93" t="s">
        <v>169</v>
      </c>
      <c r="H93">
        <v>3</v>
      </c>
      <c r="K93" t="str">
        <v/>
      </c>
      <c r="L93" t="str">
        <v/>
      </c>
      <c r="M93" t="str">
        <v>San Francisco</v>
      </c>
      <c r="N93" t="str">
        <v/>
      </c>
      <c r="O93" t="str">
        <v/>
      </c>
      <c r="P93" t="str">
        <v/>
      </c>
      <c r="Q93" t="str">
        <v>Sativanorte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>Sutatausa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</row>
    <row r="94" spans="6:43" x14ac:dyDescent="0.25">
      <c r="F94">
        <v>93</v>
      </c>
      <c r="G94" t="s">
        <v>170</v>
      </c>
      <c r="H94">
        <v>3</v>
      </c>
      <c r="K94" t="str">
        <v/>
      </c>
      <c r="L94" t="str">
        <v/>
      </c>
      <c r="M94" t="str">
        <v>San Jerónimo</v>
      </c>
      <c r="N94" t="str">
        <v/>
      </c>
      <c r="O94" t="str">
        <v/>
      </c>
      <c r="P94" t="str">
        <v/>
      </c>
      <c r="Q94" t="str">
        <v>Sativasur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>Tabio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</row>
    <row r="95" spans="6:43" x14ac:dyDescent="0.25">
      <c r="F95">
        <v>94</v>
      </c>
      <c r="G95" t="s">
        <v>37</v>
      </c>
      <c r="H95">
        <v>3</v>
      </c>
      <c r="K95" t="str">
        <v/>
      </c>
      <c r="L95" t="str">
        <v/>
      </c>
      <c r="M95" t="str">
        <v>San José de la Montaña</v>
      </c>
      <c r="N95" t="str">
        <v/>
      </c>
      <c r="O95" t="str">
        <v/>
      </c>
      <c r="P95" t="str">
        <v/>
      </c>
      <c r="Q95" t="str">
        <v>Siachoque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>Tausa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</row>
    <row r="96" spans="6:43" x14ac:dyDescent="0.25">
      <c r="F96">
        <v>95</v>
      </c>
      <c r="G96" t="s">
        <v>171</v>
      </c>
      <c r="H96">
        <v>3</v>
      </c>
      <c r="K96" t="str">
        <v/>
      </c>
      <c r="L96" t="str">
        <v/>
      </c>
      <c r="M96" t="str">
        <v>San Juan de Urabá</v>
      </c>
      <c r="N96" t="str">
        <v/>
      </c>
      <c r="O96" t="str">
        <v/>
      </c>
      <c r="P96" t="str">
        <v/>
      </c>
      <c r="Q96" t="str">
        <v>Soatá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>Tena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</row>
    <row r="97" spans="6:43" x14ac:dyDescent="0.25">
      <c r="F97">
        <v>96</v>
      </c>
      <c r="G97" t="s">
        <v>172</v>
      </c>
      <c r="H97">
        <v>3</v>
      </c>
      <c r="K97" t="str">
        <v/>
      </c>
      <c r="L97" t="str">
        <v/>
      </c>
      <c r="M97" t="str">
        <v>San Luis Obispo</v>
      </c>
      <c r="N97" t="str">
        <v/>
      </c>
      <c r="O97" t="str">
        <v/>
      </c>
      <c r="P97" t="str">
        <v/>
      </c>
      <c r="Q97" t="str">
        <v>Socha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Tenjo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</row>
    <row r="98" spans="6:43" x14ac:dyDescent="0.25">
      <c r="F98">
        <v>97</v>
      </c>
      <c r="G98" t="s">
        <v>173</v>
      </c>
      <c r="H98">
        <v>3</v>
      </c>
      <c r="K98" t="str">
        <v/>
      </c>
      <c r="L98" t="str">
        <v/>
      </c>
      <c r="M98" t="str">
        <v>San Pedro de los Milagros</v>
      </c>
      <c r="N98" t="str">
        <v/>
      </c>
      <c r="O98" t="str">
        <v/>
      </c>
      <c r="P98" t="str">
        <v/>
      </c>
      <c r="Q98" t="str">
        <v>Socotá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Tibacuy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</row>
    <row r="99" spans="6:43" x14ac:dyDescent="0.25">
      <c r="F99">
        <v>98</v>
      </c>
      <c r="G99" t="s">
        <v>174</v>
      </c>
      <c r="H99">
        <v>3</v>
      </c>
      <c r="K99" t="str">
        <v/>
      </c>
      <c r="L99" t="str">
        <v/>
      </c>
      <c r="M99" t="str">
        <v>San Pedro de Urabá</v>
      </c>
      <c r="N99" t="str">
        <v/>
      </c>
      <c r="O99" t="str">
        <v/>
      </c>
      <c r="P99" t="str">
        <v/>
      </c>
      <c r="Q99" t="str">
        <v>Sogamoso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>Tibirita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</row>
    <row r="100" spans="6:43" x14ac:dyDescent="0.25">
      <c r="F100">
        <v>99</v>
      </c>
      <c r="G100" t="s">
        <v>175</v>
      </c>
      <c r="H100">
        <v>3</v>
      </c>
      <c r="K100" t="str">
        <v/>
      </c>
      <c r="L100" t="str">
        <v/>
      </c>
      <c r="M100" t="str">
        <v>San Rafael</v>
      </c>
      <c r="N100" t="str">
        <v/>
      </c>
      <c r="O100" t="str">
        <v/>
      </c>
      <c r="P100" t="str">
        <v/>
      </c>
      <c r="Q100" t="str">
        <v>Somondoco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>Tocaima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</row>
    <row r="101" spans="6:43" x14ac:dyDescent="0.25">
      <c r="F101">
        <v>100</v>
      </c>
      <c r="G101" t="s">
        <v>176</v>
      </c>
      <c r="H101">
        <v>3</v>
      </c>
      <c r="K101" t="str">
        <v/>
      </c>
      <c r="L101" t="str">
        <v/>
      </c>
      <c r="M101" t="str">
        <v>San Roque</v>
      </c>
      <c r="N101" t="str">
        <v/>
      </c>
      <c r="O101" t="str">
        <v/>
      </c>
      <c r="P101" t="str">
        <v/>
      </c>
      <c r="Q101" t="str">
        <v>Sora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>Tocancipá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</row>
    <row r="102" spans="6:43" x14ac:dyDescent="0.25">
      <c r="F102">
        <v>101</v>
      </c>
      <c r="G102" t="s">
        <v>177</v>
      </c>
      <c r="H102">
        <v>3</v>
      </c>
      <c r="K102" t="str">
        <v/>
      </c>
      <c r="L102" t="str">
        <v/>
      </c>
      <c r="M102" t="str">
        <v>San Vicente Ferrer</v>
      </c>
      <c r="N102" t="str">
        <v/>
      </c>
      <c r="O102" t="str">
        <v/>
      </c>
      <c r="P102" t="str">
        <v/>
      </c>
      <c r="Q102" t="str">
        <v>Soracá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>Topaipí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</row>
    <row r="103" spans="6:43" x14ac:dyDescent="0.25">
      <c r="F103">
        <v>102</v>
      </c>
      <c r="G103" t="s">
        <v>178</v>
      </c>
      <c r="H103">
        <v>3</v>
      </c>
      <c r="K103" t="str">
        <v/>
      </c>
      <c r="L103" t="str">
        <v/>
      </c>
      <c r="M103" t="str">
        <v>Santa Bárbara</v>
      </c>
      <c r="N103" t="str">
        <v/>
      </c>
      <c r="O103" t="str">
        <v/>
      </c>
      <c r="P103" t="str">
        <v/>
      </c>
      <c r="Q103" t="str">
        <v>Susacón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>Ubalá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</row>
    <row r="104" spans="6:43" x14ac:dyDescent="0.25">
      <c r="F104">
        <v>103</v>
      </c>
      <c r="G104" t="s">
        <v>179</v>
      </c>
      <c r="H104">
        <v>3</v>
      </c>
      <c r="K104" t="str">
        <v/>
      </c>
      <c r="L104" t="str">
        <v/>
      </c>
      <c r="M104" t="str">
        <v>Santa Rosa de Osos</v>
      </c>
      <c r="N104" t="str">
        <v/>
      </c>
      <c r="O104" t="str">
        <v/>
      </c>
      <c r="P104" t="str">
        <v/>
      </c>
      <c r="Q104" t="str">
        <v>Sutamarchán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>Ubaque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</row>
    <row r="105" spans="6:43" x14ac:dyDescent="0.25">
      <c r="F105">
        <v>104</v>
      </c>
      <c r="G105" t="s">
        <v>180</v>
      </c>
      <c r="H105">
        <v>3</v>
      </c>
      <c r="K105" t="str">
        <v/>
      </c>
      <c r="L105" t="str">
        <v/>
      </c>
      <c r="M105" t="str">
        <v>Santo Domingo</v>
      </c>
      <c r="N105" t="str">
        <v/>
      </c>
      <c r="O105" t="str">
        <v/>
      </c>
      <c r="P105" t="str">
        <v/>
      </c>
      <c r="Q105" t="str">
        <v>Sutatenza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>Ubaté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</row>
    <row r="106" spans="6:43" x14ac:dyDescent="0.25">
      <c r="F106">
        <v>105</v>
      </c>
      <c r="G106" t="s">
        <v>181</v>
      </c>
      <c r="H106">
        <v>3</v>
      </c>
      <c r="K106" t="str">
        <v/>
      </c>
      <c r="L106" t="str">
        <v/>
      </c>
      <c r="M106" t="str">
        <v>Segovia</v>
      </c>
      <c r="N106" t="str">
        <v/>
      </c>
      <c r="O106" t="str">
        <v/>
      </c>
      <c r="P106" t="str">
        <v/>
      </c>
      <c r="Q106" t="str">
        <v>Tenza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>Une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</row>
    <row r="107" spans="6:43" x14ac:dyDescent="0.25">
      <c r="F107">
        <v>106</v>
      </c>
      <c r="G107" t="s">
        <v>182</v>
      </c>
      <c r="H107">
        <v>3</v>
      </c>
      <c r="K107" t="str">
        <v/>
      </c>
      <c r="L107" t="str">
        <v/>
      </c>
      <c r="M107" t="str">
        <v>Sonsón</v>
      </c>
      <c r="N107" t="str">
        <v/>
      </c>
      <c r="O107" t="str">
        <v/>
      </c>
      <c r="P107" t="str">
        <v/>
      </c>
      <c r="Q107" t="str">
        <v>Tibaná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Útica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</row>
    <row r="108" spans="6:43" x14ac:dyDescent="0.25">
      <c r="F108">
        <v>107</v>
      </c>
      <c r="G108" t="s">
        <v>183</v>
      </c>
      <c r="H108">
        <v>3</v>
      </c>
      <c r="K108" t="str">
        <v/>
      </c>
      <c r="L108" t="str">
        <v/>
      </c>
      <c r="M108" t="str">
        <v>Sopetrán</v>
      </c>
      <c r="N108" t="str">
        <v/>
      </c>
      <c r="O108" t="str">
        <v/>
      </c>
      <c r="P108" t="str">
        <v/>
      </c>
      <c r="Q108" t="str">
        <v>Tibasosa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Venecia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</row>
    <row r="109" spans="6:43" x14ac:dyDescent="0.25">
      <c r="F109">
        <v>108</v>
      </c>
      <c r="G109" t="s">
        <v>184</v>
      </c>
      <c r="H109">
        <v>3</v>
      </c>
      <c r="K109" t="str">
        <v/>
      </c>
      <c r="L109" t="str">
        <v/>
      </c>
      <c r="M109" t="str">
        <v>Támesis</v>
      </c>
      <c r="N109" t="str">
        <v/>
      </c>
      <c r="O109" t="str">
        <v/>
      </c>
      <c r="P109" t="str">
        <v/>
      </c>
      <c r="Q109" t="str">
        <v>Tinjacá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>Vergara</v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</row>
    <row r="110" spans="6:43" x14ac:dyDescent="0.25">
      <c r="F110">
        <v>109</v>
      </c>
      <c r="G110" t="s">
        <v>185</v>
      </c>
      <c r="H110">
        <v>3</v>
      </c>
      <c r="K110" t="str">
        <v/>
      </c>
      <c r="L110" t="str">
        <v/>
      </c>
      <c r="M110" t="str">
        <v>Tarazá</v>
      </c>
      <c r="N110" t="str">
        <v/>
      </c>
      <c r="O110" t="str">
        <v/>
      </c>
      <c r="P110" t="str">
        <v/>
      </c>
      <c r="Q110" t="str">
        <v>Tipacoque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>Vianí</v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</row>
    <row r="111" spans="6:43" x14ac:dyDescent="0.25">
      <c r="F111">
        <v>110</v>
      </c>
      <c r="G111" t="s">
        <v>186</v>
      </c>
      <c r="H111">
        <v>3</v>
      </c>
      <c r="K111" t="str">
        <v/>
      </c>
      <c r="L111" t="str">
        <v/>
      </c>
      <c r="M111" t="str">
        <v>Tarso</v>
      </c>
      <c r="N111" t="str">
        <v/>
      </c>
      <c r="O111" t="str">
        <v/>
      </c>
      <c r="P111" t="str">
        <v/>
      </c>
      <c r="Q111" t="str">
        <v>Toca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>Villagómez</v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</row>
    <row r="112" spans="6:43" x14ac:dyDescent="0.25">
      <c r="F112">
        <v>111</v>
      </c>
      <c r="G112" t="s">
        <v>187</v>
      </c>
      <c r="H112">
        <v>3</v>
      </c>
      <c r="K112" t="str">
        <v/>
      </c>
      <c r="L112" t="str">
        <v/>
      </c>
      <c r="M112" t="str">
        <v>Titiribí</v>
      </c>
      <c r="N112" t="str">
        <v/>
      </c>
      <c r="O112" t="str">
        <v/>
      </c>
      <c r="P112" t="str">
        <v/>
      </c>
      <c r="Q112" t="str">
        <v>Togüí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>Villapinzón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</row>
    <row r="113" spans="6:43" x14ac:dyDescent="0.25">
      <c r="F113">
        <v>112</v>
      </c>
      <c r="G113" t="s">
        <v>188</v>
      </c>
      <c r="H113">
        <v>3</v>
      </c>
      <c r="K113" t="str">
        <v/>
      </c>
      <c r="L113" t="str">
        <v/>
      </c>
      <c r="M113" t="str">
        <v>Toledo</v>
      </c>
      <c r="N113" t="str">
        <v/>
      </c>
      <c r="O113" t="str">
        <v/>
      </c>
      <c r="P113" t="str">
        <v/>
      </c>
      <c r="Q113" t="str">
        <v>Tópaga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Villeta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</row>
    <row r="114" spans="6:43" x14ac:dyDescent="0.25">
      <c r="F114">
        <v>113</v>
      </c>
      <c r="G114" t="s">
        <v>189</v>
      </c>
      <c r="H114">
        <v>3</v>
      </c>
      <c r="K114" t="str">
        <v/>
      </c>
      <c r="L114" t="str">
        <v/>
      </c>
      <c r="M114" t="str">
        <v>Turbo</v>
      </c>
      <c r="N114" t="str">
        <v/>
      </c>
      <c r="O114" t="str">
        <v/>
      </c>
      <c r="P114" t="str">
        <v/>
      </c>
      <c r="Q114" t="str">
        <v>Tota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Viotá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</row>
    <row r="115" spans="6:43" x14ac:dyDescent="0.25">
      <c r="F115">
        <v>114</v>
      </c>
      <c r="G115" t="s">
        <v>43</v>
      </c>
      <c r="H115">
        <v>3</v>
      </c>
      <c r="K115" t="str">
        <v/>
      </c>
      <c r="L115" t="str">
        <v/>
      </c>
      <c r="M115" t="str">
        <v>Uramita</v>
      </c>
      <c r="N115" t="str">
        <v/>
      </c>
      <c r="O115" t="str">
        <v/>
      </c>
      <c r="P115" t="str">
        <v/>
      </c>
      <c r="Q115" t="str">
        <v>Turmequé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>Yacopí</v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</row>
    <row r="116" spans="6:43" x14ac:dyDescent="0.25">
      <c r="F116">
        <v>115</v>
      </c>
      <c r="G116" t="s">
        <v>190</v>
      </c>
      <c r="H116">
        <v>3</v>
      </c>
      <c r="K116" t="str">
        <v/>
      </c>
      <c r="L116" t="str">
        <v/>
      </c>
      <c r="M116" t="str">
        <v>Urrao</v>
      </c>
      <c r="N116" t="str">
        <v/>
      </c>
      <c r="O116" t="str">
        <v/>
      </c>
      <c r="P116" t="str">
        <v/>
      </c>
      <c r="Q116" t="str">
        <v>Úmbita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>Zipacón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</row>
    <row r="117" spans="6:43" x14ac:dyDescent="0.25">
      <c r="F117">
        <v>116</v>
      </c>
      <c r="G117" t="s">
        <v>38</v>
      </c>
      <c r="H117">
        <v>3</v>
      </c>
      <c r="K117" t="str">
        <v/>
      </c>
      <c r="L117" t="str">
        <v/>
      </c>
      <c r="M117" t="str">
        <v>Valdivia</v>
      </c>
      <c r="N117" t="str">
        <v/>
      </c>
      <c r="O117" t="str">
        <v/>
      </c>
      <c r="P117" t="str">
        <v/>
      </c>
      <c r="Q117" t="str">
        <v>Ventaquemada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Zipaquirá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</row>
    <row r="118" spans="6:43" x14ac:dyDescent="0.25">
      <c r="F118">
        <v>117</v>
      </c>
      <c r="G118" t="s">
        <v>191</v>
      </c>
      <c r="H118">
        <v>3</v>
      </c>
      <c r="K118" t="str">
        <v/>
      </c>
      <c r="L118" t="str">
        <v/>
      </c>
      <c r="M118" t="str">
        <v>Valparaíso</v>
      </c>
      <c r="N118" t="str">
        <v/>
      </c>
      <c r="O118" t="str">
        <v/>
      </c>
      <c r="P118" t="str">
        <v/>
      </c>
      <c r="Q118" t="str">
        <v>Villa de Leyva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</row>
    <row r="119" spans="6:43" x14ac:dyDescent="0.25">
      <c r="F119">
        <v>118</v>
      </c>
      <c r="G119" t="s">
        <v>192</v>
      </c>
      <c r="H119">
        <v>3</v>
      </c>
      <c r="K119" t="str">
        <v/>
      </c>
      <c r="L119" t="str">
        <v/>
      </c>
      <c r="M119" t="str">
        <v>Vegachí</v>
      </c>
      <c r="N119" t="str">
        <v/>
      </c>
      <c r="O119" t="str">
        <v/>
      </c>
      <c r="P119" t="str">
        <v/>
      </c>
      <c r="Q119" t="str">
        <v>Viracachá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</row>
    <row r="120" spans="6:43" x14ac:dyDescent="0.25">
      <c r="F120">
        <v>119</v>
      </c>
      <c r="G120" t="s">
        <v>193</v>
      </c>
      <c r="H120">
        <v>3</v>
      </c>
      <c r="K120" t="str">
        <v/>
      </c>
      <c r="L120" t="str">
        <v/>
      </c>
      <c r="M120" t="str">
        <v>Venecia</v>
      </c>
      <c r="N120" t="str">
        <v/>
      </c>
      <c r="O120" t="str">
        <v/>
      </c>
      <c r="P120" t="str">
        <v/>
      </c>
      <c r="Q120" t="str">
        <v>Zetaquira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</row>
    <row r="121" spans="6:43" x14ac:dyDescent="0.25">
      <c r="F121">
        <v>120</v>
      </c>
      <c r="G121" t="s">
        <v>194</v>
      </c>
      <c r="H121">
        <v>3</v>
      </c>
      <c r="K121" t="str">
        <v/>
      </c>
      <c r="L121" t="str">
        <v/>
      </c>
      <c r="M121" t="str">
        <v>Vigía del Fuerte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</row>
    <row r="122" spans="6:43" x14ac:dyDescent="0.25">
      <c r="F122">
        <v>121</v>
      </c>
      <c r="G122" t="s">
        <v>195</v>
      </c>
      <c r="H122">
        <v>3</v>
      </c>
      <c r="K122" t="str">
        <v/>
      </c>
      <c r="L122" t="str">
        <v/>
      </c>
      <c r="M122" t="str">
        <v>Yalí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</row>
    <row r="123" spans="6:43" x14ac:dyDescent="0.25">
      <c r="F123">
        <v>122</v>
      </c>
      <c r="G123" t="s">
        <v>196</v>
      </c>
      <c r="H123">
        <v>3</v>
      </c>
      <c r="K123" t="str">
        <v/>
      </c>
      <c r="L123" t="str">
        <v/>
      </c>
      <c r="M123" t="str">
        <v>Yarumal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</row>
    <row r="124" spans="6:43" x14ac:dyDescent="0.25">
      <c r="F124">
        <v>123</v>
      </c>
      <c r="G124" t="s">
        <v>197</v>
      </c>
      <c r="H124">
        <v>3</v>
      </c>
      <c r="K124" t="str">
        <v/>
      </c>
      <c r="L124" t="str">
        <v/>
      </c>
      <c r="M124" t="str">
        <v>Yolombó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</row>
    <row r="125" spans="6:43" x14ac:dyDescent="0.25">
      <c r="F125">
        <v>124</v>
      </c>
      <c r="G125" t="s">
        <v>198</v>
      </c>
      <c r="H125">
        <v>3</v>
      </c>
      <c r="K125" t="str">
        <v/>
      </c>
      <c r="L125" t="str">
        <v/>
      </c>
      <c r="M125" t="str">
        <v>Yondó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</row>
    <row r="126" spans="6:43" x14ac:dyDescent="0.25">
      <c r="F126">
        <v>125</v>
      </c>
      <c r="G126" t="s">
        <v>199</v>
      </c>
      <c r="H126">
        <v>3</v>
      </c>
      <c r="K126" t="str">
        <v/>
      </c>
      <c r="L126" t="str">
        <v/>
      </c>
      <c r="M126" t="str">
        <v>Zaragoza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</row>
    <row r="127" spans="6:43" x14ac:dyDescent="0.25">
      <c r="F127">
        <v>126</v>
      </c>
      <c r="G127" t="s">
        <v>200</v>
      </c>
      <c r="H127">
        <v>3</v>
      </c>
    </row>
    <row r="128" spans="6:43" x14ac:dyDescent="0.25">
      <c r="F128">
        <v>127</v>
      </c>
      <c r="G128" t="s">
        <v>201</v>
      </c>
      <c r="H128">
        <v>3</v>
      </c>
    </row>
    <row r="129" spans="6:8" x14ac:dyDescent="0.25">
      <c r="F129">
        <v>128</v>
      </c>
      <c r="G129" t="s">
        <v>202</v>
      </c>
      <c r="H129">
        <v>3</v>
      </c>
    </row>
    <row r="130" spans="6:8" x14ac:dyDescent="0.25">
      <c r="F130">
        <v>129</v>
      </c>
      <c r="G130" t="s">
        <v>203</v>
      </c>
      <c r="H130">
        <v>3</v>
      </c>
    </row>
    <row r="131" spans="6:8" x14ac:dyDescent="0.25">
      <c r="F131">
        <v>130</v>
      </c>
      <c r="G131" t="s">
        <v>204</v>
      </c>
      <c r="H131">
        <v>3</v>
      </c>
    </row>
    <row r="132" spans="6:8" x14ac:dyDescent="0.25">
      <c r="F132">
        <v>131</v>
      </c>
      <c r="G132" t="s">
        <v>205</v>
      </c>
      <c r="H132">
        <v>3</v>
      </c>
    </row>
    <row r="133" spans="6:8" x14ac:dyDescent="0.25">
      <c r="F133">
        <v>132</v>
      </c>
      <c r="G133" t="s">
        <v>206</v>
      </c>
      <c r="H133">
        <v>3</v>
      </c>
    </row>
    <row r="134" spans="6:8" x14ac:dyDescent="0.25">
      <c r="F134">
        <v>133</v>
      </c>
      <c r="G134" t="s">
        <v>207</v>
      </c>
      <c r="H134">
        <v>3</v>
      </c>
    </row>
    <row r="135" spans="6:8" x14ac:dyDescent="0.25">
      <c r="F135">
        <v>134</v>
      </c>
      <c r="G135" t="s">
        <v>208</v>
      </c>
      <c r="H135">
        <v>3</v>
      </c>
    </row>
    <row r="136" spans="6:8" x14ac:dyDescent="0.25">
      <c r="F136">
        <v>135</v>
      </c>
      <c r="G136" t="s">
        <v>209</v>
      </c>
      <c r="H136">
        <v>3</v>
      </c>
    </row>
    <row r="137" spans="6:8" x14ac:dyDescent="0.25">
      <c r="F137">
        <v>136</v>
      </c>
      <c r="G137" t="s">
        <v>210</v>
      </c>
      <c r="H137">
        <v>3</v>
      </c>
    </row>
    <row r="138" spans="6:8" x14ac:dyDescent="0.25">
      <c r="F138">
        <v>137</v>
      </c>
      <c r="G138" t="s">
        <v>211</v>
      </c>
      <c r="H138">
        <v>3</v>
      </c>
    </row>
    <row r="139" spans="6:8" x14ac:dyDescent="0.25">
      <c r="F139">
        <v>138</v>
      </c>
      <c r="G139" t="s">
        <v>54</v>
      </c>
      <c r="H139">
        <v>4</v>
      </c>
    </row>
    <row r="140" spans="6:8" x14ac:dyDescent="0.25">
      <c r="F140">
        <v>139</v>
      </c>
      <c r="G140" t="s">
        <v>212</v>
      </c>
      <c r="H140">
        <v>4</v>
      </c>
    </row>
    <row r="141" spans="6:8" x14ac:dyDescent="0.25">
      <c r="F141">
        <v>140</v>
      </c>
      <c r="G141" t="s">
        <v>213</v>
      </c>
      <c r="H141">
        <v>4</v>
      </c>
    </row>
    <row r="142" spans="6:8" x14ac:dyDescent="0.25">
      <c r="F142">
        <v>141</v>
      </c>
      <c r="G142" t="s">
        <v>214</v>
      </c>
      <c r="H142">
        <v>4</v>
      </c>
    </row>
    <row r="143" spans="6:8" x14ac:dyDescent="0.25">
      <c r="F143">
        <v>142</v>
      </c>
      <c r="G143" t="s">
        <v>215</v>
      </c>
      <c r="H143">
        <v>4</v>
      </c>
    </row>
    <row r="144" spans="6:8" x14ac:dyDescent="0.25">
      <c r="F144">
        <v>143</v>
      </c>
      <c r="G144" t="s">
        <v>216</v>
      </c>
      <c r="H144">
        <v>4</v>
      </c>
    </row>
    <row r="145" spans="6:8" x14ac:dyDescent="0.25">
      <c r="F145">
        <v>144</v>
      </c>
      <c r="G145" t="s">
        <v>217</v>
      </c>
      <c r="H145">
        <v>4</v>
      </c>
    </row>
    <row r="146" spans="6:8" x14ac:dyDescent="0.25">
      <c r="F146">
        <v>145</v>
      </c>
      <c r="G146" t="s">
        <v>218</v>
      </c>
      <c r="H146">
        <v>5</v>
      </c>
    </row>
    <row r="147" spans="6:8" x14ac:dyDescent="0.25">
      <c r="F147">
        <v>146</v>
      </c>
      <c r="G147" t="s">
        <v>219</v>
      </c>
      <c r="H147">
        <v>5</v>
      </c>
    </row>
    <row r="148" spans="6:8" x14ac:dyDescent="0.25">
      <c r="F148">
        <v>147</v>
      </c>
      <c r="G148" t="s">
        <v>220</v>
      </c>
      <c r="H148">
        <v>5</v>
      </c>
    </row>
    <row r="149" spans="6:8" x14ac:dyDescent="0.25">
      <c r="F149">
        <v>148</v>
      </c>
      <c r="G149" t="s">
        <v>221</v>
      </c>
      <c r="H149">
        <v>5</v>
      </c>
    </row>
    <row r="150" spans="6:8" x14ac:dyDescent="0.25">
      <c r="F150">
        <v>149</v>
      </c>
      <c r="G150" t="s">
        <v>222</v>
      </c>
      <c r="H150">
        <v>5</v>
      </c>
    </row>
    <row r="151" spans="6:8" x14ac:dyDescent="0.25">
      <c r="F151">
        <v>150</v>
      </c>
      <c r="G151" t="s">
        <v>223</v>
      </c>
      <c r="H151">
        <v>5</v>
      </c>
    </row>
    <row r="152" spans="6:8" x14ac:dyDescent="0.25">
      <c r="F152">
        <v>151</v>
      </c>
      <c r="G152" t="s">
        <v>224</v>
      </c>
      <c r="H152">
        <v>5</v>
      </c>
    </row>
    <row r="153" spans="6:8" x14ac:dyDescent="0.25">
      <c r="F153">
        <v>152</v>
      </c>
      <c r="G153" t="s">
        <v>225</v>
      </c>
      <c r="H153">
        <v>5</v>
      </c>
    </row>
    <row r="154" spans="6:8" x14ac:dyDescent="0.25">
      <c r="F154">
        <v>153</v>
      </c>
      <c r="G154" t="s">
        <v>226</v>
      </c>
      <c r="H154">
        <v>5</v>
      </c>
    </row>
    <row r="155" spans="6:8" x14ac:dyDescent="0.25">
      <c r="F155">
        <v>154</v>
      </c>
      <c r="G155" t="s">
        <v>227</v>
      </c>
      <c r="H155">
        <v>5</v>
      </c>
    </row>
    <row r="156" spans="6:8" x14ac:dyDescent="0.25">
      <c r="F156">
        <v>155</v>
      </c>
      <c r="G156" t="s">
        <v>228</v>
      </c>
      <c r="H156">
        <v>5</v>
      </c>
    </row>
    <row r="157" spans="6:8" x14ac:dyDescent="0.25">
      <c r="F157">
        <v>156</v>
      </c>
      <c r="G157" t="s">
        <v>229</v>
      </c>
      <c r="H157">
        <v>5</v>
      </c>
    </row>
    <row r="158" spans="6:8" x14ac:dyDescent="0.25">
      <c r="F158">
        <v>157</v>
      </c>
      <c r="G158" t="s">
        <v>230</v>
      </c>
      <c r="H158">
        <v>5</v>
      </c>
    </row>
    <row r="159" spans="6:8" x14ac:dyDescent="0.25">
      <c r="F159">
        <v>158</v>
      </c>
      <c r="G159" t="s">
        <v>231</v>
      </c>
      <c r="H159">
        <v>5</v>
      </c>
    </row>
    <row r="160" spans="6:8" x14ac:dyDescent="0.25">
      <c r="F160">
        <v>159</v>
      </c>
      <c r="G160" t="s">
        <v>232</v>
      </c>
      <c r="H160">
        <v>5</v>
      </c>
    </row>
    <row r="161" spans="6:8" x14ac:dyDescent="0.25">
      <c r="F161">
        <v>160</v>
      </c>
      <c r="G161" t="s">
        <v>233</v>
      </c>
      <c r="H161">
        <v>5</v>
      </c>
    </row>
    <row r="162" spans="6:8" x14ac:dyDescent="0.25">
      <c r="F162">
        <v>161</v>
      </c>
      <c r="G162" t="s">
        <v>175</v>
      </c>
      <c r="H162">
        <v>5</v>
      </c>
    </row>
    <row r="163" spans="6:8" x14ac:dyDescent="0.25">
      <c r="F163">
        <v>162</v>
      </c>
      <c r="G163" t="s">
        <v>234</v>
      </c>
      <c r="H163">
        <v>5</v>
      </c>
    </row>
    <row r="164" spans="6:8" x14ac:dyDescent="0.25">
      <c r="F164">
        <v>163</v>
      </c>
      <c r="G164" t="s">
        <v>235</v>
      </c>
      <c r="H164">
        <v>5</v>
      </c>
    </row>
    <row r="165" spans="6:8" x14ac:dyDescent="0.25">
      <c r="F165">
        <v>164</v>
      </c>
      <c r="G165" t="s">
        <v>236</v>
      </c>
      <c r="H165">
        <v>5</v>
      </c>
    </row>
    <row r="166" spans="6:8" x14ac:dyDescent="0.25">
      <c r="F166">
        <v>165</v>
      </c>
      <c r="G166" t="s">
        <v>237</v>
      </c>
      <c r="H166">
        <v>5</v>
      </c>
    </row>
    <row r="167" spans="6:8" x14ac:dyDescent="0.25">
      <c r="F167">
        <v>166</v>
      </c>
      <c r="G167" t="s">
        <v>238</v>
      </c>
      <c r="H167">
        <v>5</v>
      </c>
    </row>
    <row r="168" spans="6:8" x14ac:dyDescent="0.25">
      <c r="F168">
        <v>167</v>
      </c>
      <c r="G168" t="s">
        <v>239</v>
      </c>
      <c r="H168">
        <v>5</v>
      </c>
    </row>
    <row r="169" spans="6:8" x14ac:dyDescent="0.25">
      <c r="F169">
        <v>168</v>
      </c>
      <c r="G169" t="s">
        <v>240</v>
      </c>
      <c r="H169">
        <v>6</v>
      </c>
    </row>
    <row r="170" spans="6:8" x14ac:dyDescent="0.25">
      <c r="F170">
        <v>169</v>
      </c>
      <c r="G170" t="s">
        <v>241</v>
      </c>
      <c r="H170">
        <v>6</v>
      </c>
    </row>
    <row r="171" spans="6:8" x14ac:dyDescent="0.25">
      <c r="F171">
        <v>170</v>
      </c>
      <c r="G171" t="s">
        <v>242</v>
      </c>
      <c r="H171">
        <v>6</v>
      </c>
    </row>
    <row r="172" spans="6:8" x14ac:dyDescent="0.25">
      <c r="F172">
        <v>171</v>
      </c>
      <c r="G172" t="s">
        <v>243</v>
      </c>
      <c r="H172">
        <v>6</v>
      </c>
    </row>
    <row r="173" spans="6:8" x14ac:dyDescent="0.25">
      <c r="F173">
        <v>172</v>
      </c>
      <c r="G173" t="s">
        <v>244</v>
      </c>
      <c r="H173">
        <v>6</v>
      </c>
    </row>
    <row r="174" spans="6:8" x14ac:dyDescent="0.25">
      <c r="F174">
        <v>173</v>
      </c>
      <c r="G174" t="s">
        <v>245</v>
      </c>
      <c r="H174">
        <v>6</v>
      </c>
    </row>
    <row r="175" spans="6:8" x14ac:dyDescent="0.25">
      <c r="F175">
        <v>174</v>
      </c>
      <c r="G175" t="s">
        <v>246</v>
      </c>
      <c r="H175">
        <v>6</v>
      </c>
    </row>
    <row r="176" spans="6:8" x14ac:dyDescent="0.25">
      <c r="F176">
        <v>175</v>
      </c>
      <c r="G176" t="s">
        <v>247</v>
      </c>
      <c r="H176">
        <v>6</v>
      </c>
    </row>
    <row r="177" spans="6:8" x14ac:dyDescent="0.25">
      <c r="F177">
        <v>176</v>
      </c>
      <c r="G177" t="s">
        <v>248</v>
      </c>
      <c r="H177">
        <v>6</v>
      </c>
    </row>
    <row r="178" spans="6:8" x14ac:dyDescent="0.25">
      <c r="F178">
        <v>177</v>
      </c>
      <c r="G178" t="s">
        <v>249</v>
      </c>
      <c r="H178">
        <v>6</v>
      </c>
    </row>
    <row r="179" spans="6:8" x14ac:dyDescent="0.25">
      <c r="F179">
        <v>178</v>
      </c>
      <c r="G179" t="s">
        <v>250</v>
      </c>
      <c r="H179">
        <v>6</v>
      </c>
    </row>
    <row r="180" spans="6:8" x14ac:dyDescent="0.25">
      <c r="F180">
        <v>179</v>
      </c>
      <c r="G180" t="s">
        <v>251</v>
      </c>
      <c r="H180">
        <v>6</v>
      </c>
    </row>
    <row r="181" spans="6:8" x14ac:dyDescent="0.25">
      <c r="F181">
        <v>180</v>
      </c>
      <c r="G181" t="s">
        <v>64</v>
      </c>
      <c r="H181">
        <v>6</v>
      </c>
    </row>
    <row r="182" spans="6:8" x14ac:dyDescent="0.25">
      <c r="F182">
        <v>181</v>
      </c>
      <c r="G182" t="s">
        <v>252</v>
      </c>
      <c r="H182">
        <v>6</v>
      </c>
    </row>
    <row r="183" spans="6:8" x14ac:dyDescent="0.25">
      <c r="F183">
        <v>182</v>
      </c>
      <c r="G183" t="s">
        <v>253</v>
      </c>
      <c r="H183">
        <v>6</v>
      </c>
    </row>
    <row r="184" spans="6:8" x14ac:dyDescent="0.25">
      <c r="F184">
        <v>183</v>
      </c>
      <c r="G184" t="s">
        <v>254</v>
      </c>
      <c r="H184">
        <v>6</v>
      </c>
    </row>
    <row r="185" spans="6:8" x14ac:dyDescent="0.25">
      <c r="F185">
        <v>184</v>
      </c>
      <c r="G185" t="s">
        <v>255</v>
      </c>
      <c r="H185">
        <v>6</v>
      </c>
    </row>
    <row r="186" spans="6:8" x14ac:dyDescent="0.25">
      <c r="F186">
        <v>185</v>
      </c>
      <c r="G186" t="s">
        <v>256</v>
      </c>
      <c r="H186">
        <v>6</v>
      </c>
    </row>
    <row r="187" spans="6:8" x14ac:dyDescent="0.25">
      <c r="F187">
        <v>186</v>
      </c>
      <c r="G187" t="s">
        <v>257</v>
      </c>
      <c r="H187">
        <v>6</v>
      </c>
    </row>
    <row r="188" spans="6:8" x14ac:dyDescent="0.25">
      <c r="F188">
        <v>187</v>
      </c>
      <c r="G188" t="s">
        <v>258</v>
      </c>
      <c r="H188">
        <v>6</v>
      </c>
    </row>
    <row r="189" spans="6:8" x14ac:dyDescent="0.25">
      <c r="F189">
        <v>188</v>
      </c>
      <c r="G189" t="s">
        <v>259</v>
      </c>
      <c r="H189">
        <v>6</v>
      </c>
    </row>
    <row r="190" spans="6:8" x14ac:dyDescent="0.25">
      <c r="F190">
        <v>189</v>
      </c>
      <c r="G190" t="s">
        <v>260</v>
      </c>
      <c r="H190">
        <v>6</v>
      </c>
    </row>
    <row r="191" spans="6:8" x14ac:dyDescent="0.25">
      <c r="F191">
        <v>190</v>
      </c>
      <c r="G191" t="s">
        <v>261</v>
      </c>
      <c r="H191">
        <v>6</v>
      </c>
    </row>
    <row r="192" spans="6:8" x14ac:dyDescent="0.25">
      <c r="F192">
        <v>191</v>
      </c>
      <c r="G192" t="s">
        <v>262</v>
      </c>
      <c r="H192">
        <v>6</v>
      </c>
    </row>
    <row r="193" spans="6:8" x14ac:dyDescent="0.25">
      <c r="F193">
        <v>192</v>
      </c>
      <c r="G193" t="s">
        <v>263</v>
      </c>
      <c r="H193">
        <v>6</v>
      </c>
    </row>
    <row r="194" spans="6:8" x14ac:dyDescent="0.25">
      <c r="F194">
        <v>193</v>
      </c>
      <c r="G194" t="s">
        <v>264</v>
      </c>
      <c r="H194">
        <v>6</v>
      </c>
    </row>
    <row r="195" spans="6:8" x14ac:dyDescent="0.25">
      <c r="F195">
        <v>194</v>
      </c>
      <c r="G195" t="s">
        <v>265</v>
      </c>
      <c r="H195">
        <v>6</v>
      </c>
    </row>
    <row r="196" spans="6:8" x14ac:dyDescent="0.25">
      <c r="F196">
        <v>195</v>
      </c>
      <c r="G196" t="s">
        <v>266</v>
      </c>
      <c r="H196">
        <v>6</v>
      </c>
    </row>
    <row r="197" spans="6:8" x14ac:dyDescent="0.25">
      <c r="F197">
        <v>196</v>
      </c>
      <c r="G197" t="s">
        <v>267</v>
      </c>
      <c r="H197">
        <v>6</v>
      </c>
    </row>
    <row r="198" spans="6:8" x14ac:dyDescent="0.25">
      <c r="F198">
        <v>197</v>
      </c>
      <c r="G198" t="s">
        <v>268</v>
      </c>
      <c r="H198">
        <v>6</v>
      </c>
    </row>
    <row r="199" spans="6:8" x14ac:dyDescent="0.25">
      <c r="F199">
        <v>198</v>
      </c>
      <c r="G199" t="s">
        <v>269</v>
      </c>
      <c r="H199">
        <v>6</v>
      </c>
    </row>
    <row r="200" spans="6:8" x14ac:dyDescent="0.25">
      <c r="F200">
        <v>199</v>
      </c>
      <c r="G200" t="s">
        <v>269</v>
      </c>
      <c r="H200">
        <v>6</v>
      </c>
    </row>
    <row r="201" spans="6:8" x14ac:dyDescent="0.25">
      <c r="F201">
        <v>200</v>
      </c>
      <c r="G201" t="s">
        <v>270</v>
      </c>
      <c r="H201">
        <v>6</v>
      </c>
    </row>
    <row r="202" spans="6:8" x14ac:dyDescent="0.25">
      <c r="F202">
        <v>201</v>
      </c>
      <c r="G202" t="s">
        <v>271</v>
      </c>
      <c r="H202">
        <v>6</v>
      </c>
    </row>
    <row r="203" spans="6:8" x14ac:dyDescent="0.25">
      <c r="F203">
        <v>202</v>
      </c>
      <c r="G203" t="s">
        <v>272</v>
      </c>
      <c r="H203">
        <v>6</v>
      </c>
    </row>
    <row r="204" spans="6:8" x14ac:dyDescent="0.25">
      <c r="F204">
        <v>203</v>
      </c>
      <c r="G204" t="s">
        <v>273</v>
      </c>
      <c r="H204">
        <v>6</v>
      </c>
    </row>
    <row r="205" spans="6:8" x14ac:dyDescent="0.25">
      <c r="F205">
        <v>204</v>
      </c>
      <c r="G205" t="s">
        <v>274</v>
      </c>
      <c r="H205">
        <v>6</v>
      </c>
    </row>
    <row r="206" spans="6:8" x14ac:dyDescent="0.25">
      <c r="F206">
        <v>205</v>
      </c>
      <c r="G206" t="s">
        <v>274</v>
      </c>
      <c r="H206">
        <v>6</v>
      </c>
    </row>
    <row r="207" spans="6:8" x14ac:dyDescent="0.25">
      <c r="F207">
        <v>206</v>
      </c>
      <c r="G207" t="s">
        <v>275</v>
      </c>
      <c r="H207">
        <v>6</v>
      </c>
    </row>
    <row r="208" spans="6:8" x14ac:dyDescent="0.25">
      <c r="F208">
        <v>207</v>
      </c>
      <c r="G208" t="s">
        <v>276</v>
      </c>
      <c r="H208">
        <v>6</v>
      </c>
    </row>
    <row r="209" spans="6:8" x14ac:dyDescent="0.25">
      <c r="F209">
        <v>208</v>
      </c>
      <c r="G209" t="s">
        <v>277</v>
      </c>
      <c r="H209">
        <v>6</v>
      </c>
    </row>
    <row r="210" spans="6:8" x14ac:dyDescent="0.25">
      <c r="F210">
        <v>209</v>
      </c>
      <c r="G210" t="s">
        <v>278</v>
      </c>
      <c r="H210">
        <v>6</v>
      </c>
    </row>
    <row r="211" spans="6:8" x14ac:dyDescent="0.25">
      <c r="F211">
        <v>210</v>
      </c>
      <c r="G211" t="s">
        <v>279</v>
      </c>
      <c r="H211">
        <v>6</v>
      </c>
    </row>
    <row r="212" spans="6:8" x14ac:dyDescent="0.25">
      <c r="F212">
        <v>211</v>
      </c>
      <c r="G212" t="s">
        <v>280</v>
      </c>
      <c r="H212">
        <v>6</v>
      </c>
    </row>
    <row r="213" spans="6:8" x14ac:dyDescent="0.25">
      <c r="F213">
        <v>212</v>
      </c>
      <c r="G213" t="s">
        <v>281</v>
      </c>
      <c r="H213">
        <v>6</v>
      </c>
    </row>
    <row r="214" spans="6:8" x14ac:dyDescent="0.25">
      <c r="F214">
        <v>213</v>
      </c>
      <c r="G214" t="s">
        <v>282</v>
      </c>
      <c r="H214">
        <v>6</v>
      </c>
    </row>
    <row r="215" spans="6:8" x14ac:dyDescent="0.25">
      <c r="F215">
        <v>214</v>
      </c>
      <c r="G215" t="s">
        <v>283</v>
      </c>
      <c r="H215">
        <v>7</v>
      </c>
    </row>
    <row r="216" spans="6:8" x14ac:dyDescent="0.25">
      <c r="F216">
        <v>215</v>
      </c>
      <c r="G216" t="s">
        <v>284</v>
      </c>
      <c r="H216">
        <v>7</v>
      </c>
    </row>
    <row r="217" spans="6:8" x14ac:dyDescent="0.25">
      <c r="F217">
        <v>216</v>
      </c>
      <c r="G217" t="s">
        <v>285</v>
      </c>
      <c r="H217">
        <v>7</v>
      </c>
    </row>
    <row r="218" spans="6:8" x14ac:dyDescent="0.25">
      <c r="F218">
        <v>217</v>
      </c>
      <c r="G218" t="s">
        <v>286</v>
      </c>
      <c r="H218">
        <v>7</v>
      </c>
    </row>
    <row r="219" spans="6:8" x14ac:dyDescent="0.25">
      <c r="F219">
        <v>218</v>
      </c>
      <c r="G219" t="s">
        <v>287</v>
      </c>
      <c r="H219">
        <v>7</v>
      </c>
    </row>
    <row r="220" spans="6:8" x14ac:dyDescent="0.25">
      <c r="F220">
        <v>219</v>
      </c>
      <c r="G220" t="s">
        <v>288</v>
      </c>
      <c r="H220">
        <v>7</v>
      </c>
    </row>
    <row r="221" spans="6:8" x14ac:dyDescent="0.25">
      <c r="F221">
        <v>220</v>
      </c>
      <c r="G221" t="s">
        <v>289</v>
      </c>
      <c r="H221">
        <v>7</v>
      </c>
    </row>
    <row r="222" spans="6:8" x14ac:dyDescent="0.25">
      <c r="F222">
        <v>221</v>
      </c>
      <c r="G222" t="s">
        <v>290</v>
      </c>
      <c r="H222">
        <v>7</v>
      </c>
    </row>
    <row r="223" spans="6:8" x14ac:dyDescent="0.25">
      <c r="F223">
        <v>222</v>
      </c>
      <c r="G223" t="s">
        <v>57</v>
      </c>
      <c r="H223">
        <v>7</v>
      </c>
    </row>
    <row r="224" spans="6:8" x14ac:dyDescent="0.25">
      <c r="F224">
        <v>223</v>
      </c>
      <c r="G224" t="s">
        <v>114</v>
      </c>
      <c r="H224">
        <v>7</v>
      </c>
    </row>
    <row r="225" spans="6:8" x14ac:dyDescent="0.25">
      <c r="F225">
        <v>224</v>
      </c>
      <c r="G225" t="s">
        <v>291</v>
      </c>
      <c r="H225">
        <v>7</v>
      </c>
    </row>
    <row r="226" spans="6:8" x14ac:dyDescent="0.25">
      <c r="F226">
        <v>225</v>
      </c>
      <c r="G226" t="s">
        <v>292</v>
      </c>
      <c r="H226">
        <v>7</v>
      </c>
    </row>
    <row r="227" spans="6:8" x14ac:dyDescent="0.25">
      <c r="F227">
        <v>226</v>
      </c>
      <c r="G227" t="s">
        <v>58</v>
      </c>
      <c r="H227">
        <v>7</v>
      </c>
    </row>
    <row r="228" spans="6:8" x14ac:dyDescent="0.25">
      <c r="F228">
        <v>227</v>
      </c>
      <c r="G228" t="s">
        <v>293</v>
      </c>
      <c r="H228">
        <v>7</v>
      </c>
    </row>
    <row r="229" spans="6:8" x14ac:dyDescent="0.25">
      <c r="F229">
        <v>228</v>
      </c>
      <c r="G229" t="s">
        <v>294</v>
      </c>
      <c r="H229">
        <v>7</v>
      </c>
    </row>
    <row r="230" spans="6:8" x14ac:dyDescent="0.25">
      <c r="F230">
        <v>229</v>
      </c>
      <c r="G230" t="s">
        <v>295</v>
      </c>
      <c r="H230">
        <v>7</v>
      </c>
    </row>
    <row r="231" spans="6:8" x14ac:dyDescent="0.25">
      <c r="F231">
        <v>230</v>
      </c>
      <c r="G231" t="s">
        <v>296</v>
      </c>
      <c r="H231">
        <v>7</v>
      </c>
    </row>
    <row r="232" spans="6:8" x14ac:dyDescent="0.25">
      <c r="F232">
        <v>231</v>
      </c>
      <c r="G232" t="s">
        <v>297</v>
      </c>
      <c r="H232">
        <v>7</v>
      </c>
    </row>
    <row r="233" spans="6:8" x14ac:dyDescent="0.25">
      <c r="F233">
        <v>232</v>
      </c>
      <c r="G233" t="s">
        <v>298</v>
      </c>
      <c r="H233">
        <v>7</v>
      </c>
    </row>
    <row r="234" spans="6:8" x14ac:dyDescent="0.25">
      <c r="F234">
        <v>233</v>
      </c>
      <c r="G234" t="s">
        <v>299</v>
      </c>
      <c r="H234">
        <v>7</v>
      </c>
    </row>
    <row r="235" spans="6:8" x14ac:dyDescent="0.25">
      <c r="F235">
        <v>234</v>
      </c>
      <c r="G235" t="s">
        <v>300</v>
      </c>
      <c r="H235">
        <v>7</v>
      </c>
    </row>
    <row r="236" spans="6:8" x14ac:dyDescent="0.25">
      <c r="F236">
        <v>235</v>
      </c>
      <c r="G236" t="s">
        <v>301</v>
      </c>
      <c r="H236">
        <v>7</v>
      </c>
    </row>
    <row r="237" spans="6:8" x14ac:dyDescent="0.25">
      <c r="F237">
        <v>236</v>
      </c>
      <c r="G237" t="s">
        <v>302</v>
      </c>
      <c r="H237">
        <v>7</v>
      </c>
    </row>
    <row r="238" spans="6:8" x14ac:dyDescent="0.25">
      <c r="F238">
        <v>237</v>
      </c>
      <c r="G238" t="s">
        <v>303</v>
      </c>
      <c r="H238">
        <v>7</v>
      </c>
    </row>
    <row r="239" spans="6:8" x14ac:dyDescent="0.25">
      <c r="F239">
        <v>238</v>
      </c>
      <c r="G239" t="s">
        <v>304</v>
      </c>
      <c r="H239">
        <v>7</v>
      </c>
    </row>
    <row r="240" spans="6:8" x14ac:dyDescent="0.25">
      <c r="F240">
        <v>239</v>
      </c>
      <c r="G240" t="s">
        <v>305</v>
      </c>
      <c r="H240">
        <v>7</v>
      </c>
    </row>
    <row r="241" spans="6:8" x14ac:dyDescent="0.25">
      <c r="F241">
        <v>240</v>
      </c>
      <c r="G241" t="s">
        <v>306</v>
      </c>
      <c r="H241">
        <v>7</v>
      </c>
    </row>
    <row r="242" spans="6:8" x14ac:dyDescent="0.25">
      <c r="F242">
        <v>241</v>
      </c>
      <c r="G242" t="s">
        <v>307</v>
      </c>
      <c r="H242">
        <v>7</v>
      </c>
    </row>
    <row r="243" spans="6:8" x14ac:dyDescent="0.25">
      <c r="F243">
        <v>242</v>
      </c>
      <c r="G243" t="s">
        <v>308</v>
      </c>
      <c r="H243">
        <v>7</v>
      </c>
    </row>
    <row r="244" spans="6:8" x14ac:dyDescent="0.25">
      <c r="F244">
        <v>243</v>
      </c>
      <c r="G244" t="s">
        <v>309</v>
      </c>
      <c r="H244">
        <v>7</v>
      </c>
    </row>
    <row r="245" spans="6:8" x14ac:dyDescent="0.25">
      <c r="F245">
        <v>244</v>
      </c>
      <c r="G245" t="s">
        <v>310</v>
      </c>
      <c r="H245">
        <v>7</v>
      </c>
    </row>
    <row r="246" spans="6:8" x14ac:dyDescent="0.25">
      <c r="F246">
        <v>245</v>
      </c>
      <c r="G246" t="s">
        <v>311</v>
      </c>
      <c r="H246">
        <v>7</v>
      </c>
    </row>
    <row r="247" spans="6:8" x14ac:dyDescent="0.25">
      <c r="F247">
        <v>246</v>
      </c>
      <c r="G247" t="s">
        <v>312</v>
      </c>
      <c r="H247">
        <v>7</v>
      </c>
    </row>
    <row r="248" spans="6:8" x14ac:dyDescent="0.25">
      <c r="F248">
        <v>247</v>
      </c>
      <c r="G248" t="s">
        <v>313</v>
      </c>
      <c r="H248">
        <v>7</v>
      </c>
    </row>
    <row r="249" spans="6:8" x14ac:dyDescent="0.25">
      <c r="F249">
        <v>248</v>
      </c>
      <c r="G249" t="s">
        <v>314</v>
      </c>
      <c r="H249">
        <v>7</v>
      </c>
    </row>
    <row r="250" spans="6:8" x14ac:dyDescent="0.25">
      <c r="F250">
        <v>249</v>
      </c>
      <c r="G250" t="s">
        <v>315</v>
      </c>
      <c r="H250">
        <v>7</v>
      </c>
    </row>
    <row r="251" spans="6:8" x14ac:dyDescent="0.25">
      <c r="F251">
        <v>250</v>
      </c>
      <c r="G251" t="s">
        <v>316</v>
      </c>
      <c r="H251">
        <v>7</v>
      </c>
    </row>
    <row r="252" spans="6:8" x14ac:dyDescent="0.25">
      <c r="F252">
        <v>251</v>
      </c>
      <c r="G252" t="s">
        <v>317</v>
      </c>
      <c r="H252">
        <v>7</v>
      </c>
    </row>
    <row r="253" spans="6:8" x14ac:dyDescent="0.25">
      <c r="F253">
        <v>252</v>
      </c>
      <c r="G253" t="s">
        <v>318</v>
      </c>
      <c r="H253">
        <v>7</v>
      </c>
    </row>
    <row r="254" spans="6:8" x14ac:dyDescent="0.25">
      <c r="F254">
        <v>253</v>
      </c>
      <c r="G254" t="s">
        <v>319</v>
      </c>
      <c r="H254">
        <v>7</v>
      </c>
    </row>
    <row r="255" spans="6:8" x14ac:dyDescent="0.25">
      <c r="F255">
        <v>254</v>
      </c>
      <c r="G255" t="s">
        <v>320</v>
      </c>
      <c r="H255">
        <v>7</v>
      </c>
    </row>
    <row r="256" spans="6:8" x14ac:dyDescent="0.25">
      <c r="F256">
        <v>255</v>
      </c>
      <c r="G256" t="s">
        <v>321</v>
      </c>
      <c r="H256">
        <v>7</v>
      </c>
    </row>
    <row r="257" spans="6:8" x14ac:dyDescent="0.25">
      <c r="F257">
        <v>256</v>
      </c>
      <c r="G257" t="s">
        <v>322</v>
      </c>
      <c r="H257">
        <v>7</v>
      </c>
    </row>
    <row r="258" spans="6:8" x14ac:dyDescent="0.25">
      <c r="F258">
        <v>257</v>
      </c>
      <c r="G258" t="s">
        <v>323</v>
      </c>
      <c r="H258">
        <v>7</v>
      </c>
    </row>
    <row r="259" spans="6:8" x14ac:dyDescent="0.25">
      <c r="F259">
        <v>258</v>
      </c>
      <c r="G259" t="s">
        <v>154</v>
      </c>
      <c r="H259">
        <v>7</v>
      </c>
    </row>
    <row r="260" spans="6:8" x14ac:dyDescent="0.25">
      <c r="F260">
        <v>259</v>
      </c>
      <c r="G260" t="s">
        <v>324</v>
      </c>
      <c r="H260">
        <v>7</v>
      </c>
    </row>
    <row r="261" spans="6:8" x14ac:dyDescent="0.25">
      <c r="F261">
        <v>260</v>
      </c>
      <c r="G261" t="s">
        <v>325</v>
      </c>
      <c r="H261">
        <v>7</v>
      </c>
    </row>
    <row r="262" spans="6:8" x14ac:dyDescent="0.25">
      <c r="F262">
        <v>261</v>
      </c>
      <c r="G262" t="s">
        <v>88</v>
      </c>
      <c r="H262">
        <v>7</v>
      </c>
    </row>
    <row r="263" spans="6:8" x14ac:dyDescent="0.25">
      <c r="F263">
        <v>262</v>
      </c>
      <c r="G263" t="s">
        <v>326</v>
      </c>
      <c r="H263">
        <v>7</v>
      </c>
    </row>
    <row r="264" spans="6:8" x14ac:dyDescent="0.25">
      <c r="F264">
        <v>263</v>
      </c>
      <c r="G264" t="s">
        <v>327</v>
      </c>
      <c r="H264">
        <v>7</v>
      </c>
    </row>
    <row r="265" spans="6:8" x14ac:dyDescent="0.25">
      <c r="F265">
        <v>264</v>
      </c>
      <c r="G265" t="s">
        <v>328</v>
      </c>
      <c r="H265">
        <v>7</v>
      </c>
    </row>
    <row r="266" spans="6:8" x14ac:dyDescent="0.25">
      <c r="F266">
        <v>265</v>
      </c>
      <c r="G266" t="s">
        <v>329</v>
      </c>
      <c r="H266">
        <v>7</v>
      </c>
    </row>
    <row r="267" spans="6:8" x14ac:dyDescent="0.25">
      <c r="F267">
        <v>266</v>
      </c>
      <c r="G267" t="s">
        <v>330</v>
      </c>
      <c r="H267">
        <v>7</v>
      </c>
    </row>
    <row r="268" spans="6:8" x14ac:dyDescent="0.25">
      <c r="F268">
        <v>267</v>
      </c>
      <c r="G268" t="s">
        <v>331</v>
      </c>
      <c r="H268">
        <v>7</v>
      </c>
    </row>
    <row r="269" spans="6:8" x14ac:dyDescent="0.25">
      <c r="F269">
        <v>268</v>
      </c>
      <c r="G269" t="s">
        <v>332</v>
      </c>
      <c r="H269">
        <v>7</v>
      </c>
    </row>
    <row r="270" spans="6:8" x14ac:dyDescent="0.25">
      <c r="F270">
        <v>269</v>
      </c>
      <c r="G270" t="s">
        <v>333</v>
      </c>
      <c r="H270">
        <v>7</v>
      </c>
    </row>
    <row r="271" spans="6:8" x14ac:dyDescent="0.25">
      <c r="F271">
        <v>270</v>
      </c>
      <c r="G271" t="s">
        <v>334</v>
      </c>
      <c r="H271">
        <v>7</v>
      </c>
    </row>
    <row r="272" spans="6:8" x14ac:dyDescent="0.25">
      <c r="F272">
        <v>271</v>
      </c>
      <c r="G272" t="s">
        <v>335</v>
      </c>
      <c r="H272">
        <v>7</v>
      </c>
    </row>
    <row r="273" spans="6:8" x14ac:dyDescent="0.25">
      <c r="F273">
        <v>272</v>
      </c>
      <c r="G273" t="s">
        <v>336</v>
      </c>
      <c r="H273">
        <v>7</v>
      </c>
    </row>
    <row r="274" spans="6:8" x14ac:dyDescent="0.25">
      <c r="F274">
        <v>273</v>
      </c>
      <c r="G274" t="s">
        <v>337</v>
      </c>
      <c r="H274">
        <v>7</v>
      </c>
    </row>
    <row r="275" spans="6:8" x14ac:dyDescent="0.25">
      <c r="F275">
        <v>274</v>
      </c>
      <c r="G275" t="s">
        <v>338</v>
      </c>
      <c r="H275">
        <v>7</v>
      </c>
    </row>
    <row r="276" spans="6:8" x14ac:dyDescent="0.25">
      <c r="F276">
        <v>275</v>
      </c>
      <c r="G276" t="s">
        <v>339</v>
      </c>
      <c r="H276">
        <v>7</v>
      </c>
    </row>
    <row r="277" spans="6:8" x14ac:dyDescent="0.25">
      <c r="F277">
        <v>276</v>
      </c>
      <c r="G277" t="s">
        <v>340</v>
      </c>
      <c r="H277">
        <v>7</v>
      </c>
    </row>
    <row r="278" spans="6:8" x14ac:dyDescent="0.25">
      <c r="F278">
        <v>277</v>
      </c>
      <c r="G278" t="s">
        <v>341</v>
      </c>
      <c r="H278">
        <v>7</v>
      </c>
    </row>
    <row r="279" spans="6:8" x14ac:dyDescent="0.25">
      <c r="F279">
        <v>278</v>
      </c>
      <c r="G279" t="s">
        <v>342</v>
      </c>
      <c r="H279">
        <v>7</v>
      </c>
    </row>
    <row r="280" spans="6:8" x14ac:dyDescent="0.25">
      <c r="F280">
        <v>279</v>
      </c>
      <c r="G280" t="s">
        <v>343</v>
      </c>
      <c r="H280">
        <v>7</v>
      </c>
    </row>
    <row r="281" spans="6:8" x14ac:dyDescent="0.25">
      <c r="F281">
        <v>280</v>
      </c>
      <c r="G281" t="s">
        <v>344</v>
      </c>
      <c r="H281">
        <v>7</v>
      </c>
    </row>
    <row r="282" spans="6:8" x14ac:dyDescent="0.25">
      <c r="F282">
        <v>281</v>
      </c>
      <c r="G282" t="s">
        <v>345</v>
      </c>
      <c r="H282">
        <v>7</v>
      </c>
    </row>
    <row r="283" spans="6:8" x14ac:dyDescent="0.25">
      <c r="F283">
        <v>282</v>
      </c>
      <c r="G283" t="s">
        <v>346</v>
      </c>
      <c r="H283">
        <v>7</v>
      </c>
    </row>
    <row r="284" spans="6:8" x14ac:dyDescent="0.25">
      <c r="F284">
        <v>283</v>
      </c>
      <c r="G284" t="s">
        <v>347</v>
      </c>
      <c r="H284">
        <v>7</v>
      </c>
    </row>
    <row r="285" spans="6:8" x14ac:dyDescent="0.25">
      <c r="F285">
        <v>284</v>
      </c>
      <c r="G285" t="s">
        <v>348</v>
      </c>
      <c r="H285">
        <v>7</v>
      </c>
    </row>
    <row r="286" spans="6:8" x14ac:dyDescent="0.25">
      <c r="F286">
        <v>285</v>
      </c>
      <c r="G286" t="s">
        <v>349</v>
      </c>
      <c r="H286">
        <v>7</v>
      </c>
    </row>
    <row r="287" spans="6:8" x14ac:dyDescent="0.25">
      <c r="F287">
        <v>286</v>
      </c>
      <c r="G287" t="s">
        <v>350</v>
      </c>
      <c r="H287">
        <v>7</v>
      </c>
    </row>
    <row r="288" spans="6:8" x14ac:dyDescent="0.25">
      <c r="F288">
        <v>287</v>
      </c>
      <c r="G288" t="s">
        <v>351</v>
      </c>
      <c r="H288">
        <v>7</v>
      </c>
    </row>
    <row r="289" spans="6:8" x14ac:dyDescent="0.25">
      <c r="F289">
        <v>288</v>
      </c>
      <c r="G289" t="s">
        <v>352</v>
      </c>
      <c r="H289">
        <v>7</v>
      </c>
    </row>
    <row r="290" spans="6:8" x14ac:dyDescent="0.25">
      <c r="F290">
        <v>289</v>
      </c>
      <c r="G290" t="s">
        <v>353</v>
      </c>
      <c r="H290">
        <v>7</v>
      </c>
    </row>
    <row r="291" spans="6:8" x14ac:dyDescent="0.25">
      <c r="F291">
        <v>290</v>
      </c>
      <c r="G291" t="s">
        <v>354</v>
      </c>
      <c r="H291">
        <v>7</v>
      </c>
    </row>
    <row r="292" spans="6:8" x14ac:dyDescent="0.25">
      <c r="F292">
        <v>291</v>
      </c>
      <c r="G292" t="s">
        <v>355</v>
      </c>
      <c r="H292">
        <v>7</v>
      </c>
    </row>
    <row r="293" spans="6:8" x14ac:dyDescent="0.25">
      <c r="F293">
        <v>292</v>
      </c>
      <c r="G293" t="s">
        <v>356</v>
      </c>
      <c r="H293">
        <v>7</v>
      </c>
    </row>
    <row r="294" spans="6:8" x14ac:dyDescent="0.25">
      <c r="F294">
        <v>293</v>
      </c>
      <c r="G294" t="s">
        <v>357</v>
      </c>
      <c r="H294">
        <v>7</v>
      </c>
    </row>
    <row r="295" spans="6:8" x14ac:dyDescent="0.25">
      <c r="F295">
        <v>294</v>
      </c>
      <c r="G295" t="s">
        <v>358</v>
      </c>
      <c r="H295">
        <v>7</v>
      </c>
    </row>
    <row r="296" spans="6:8" x14ac:dyDescent="0.25">
      <c r="F296">
        <v>295</v>
      </c>
      <c r="G296" t="s">
        <v>359</v>
      </c>
      <c r="H296">
        <v>7</v>
      </c>
    </row>
    <row r="297" spans="6:8" x14ac:dyDescent="0.25">
      <c r="F297">
        <v>296</v>
      </c>
      <c r="G297" t="s">
        <v>360</v>
      </c>
      <c r="H297">
        <v>7</v>
      </c>
    </row>
    <row r="298" spans="6:8" x14ac:dyDescent="0.25">
      <c r="F298">
        <v>297</v>
      </c>
      <c r="G298" t="s">
        <v>361</v>
      </c>
      <c r="H298">
        <v>7</v>
      </c>
    </row>
    <row r="299" spans="6:8" x14ac:dyDescent="0.25">
      <c r="F299">
        <v>298</v>
      </c>
      <c r="G299" t="s">
        <v>362</v>
      </c>
      <c r="H299">
        <v>7</v>
      </c>
    </row>
    <row r="300" spans="6:8" x14ac:dyDescent="0.25">
      <c r="F300">
        <v>299</v>
      </c>
      <c r="G300" t="s">
        <v>363</v>
      </c>
      <c r="H300">
        <v>7</v>
      </c>
    </row>
    <row r="301" spans="6:8" x14ac:dyDescent="0.25">
      <c r="F301">
        <v>300</v>
      </c>
      <c r="G301" t="s">
        <v>364</v>
      </c>
      <c r="H301">
        <v>7</v>
      </c>
    </row>
    <row r="302" spans="6:8" x14ac:dyDescent="0.25">
      <c r="F302">
        <v>301</v>
      </c>
      <c r="G302" t="s">
        <v>365</v>
      </c>
      <c r="H302">
        <v>7</v>
      </c>
    </row>
    <row r="303" spans="6:8" x14ac:dyDescent="0.25">
      <c r="F303">
        <v>302</v>
      </c>
      <c r="G303" t="s">
        <v>366</v>
      </c>
      <c r="H303">
        <v>7</v>
      </c>
    </row>
    <row r="304" spans="6:8" x14ac:dyDescent="0.25">
      <c r="F304">
        <v>303</v>
      </c>
      <c r="G304" t="s">
        <v>367</v>
      </c>
      <c r="H304">
        <v>7</v>
      </c>
    </row>
    <row r="305" spans="6:8" x14ac:dyDescent="0.25">
      <c r="F305">
        <v>304</v>
      </c>
      <c r="G305" t="s">
        <v>368</v>
      </c>
      <c r="H305">
        <v>7</v>
      </c>
    </row>
    <row r="306" spans="6:8" x14ac:dyDescent="0.25">
      <c r="F306">
        <v>305</v>
      </c>
      <c r="G306" t="s">
        <v>369</v>
      </c>
      <c r="H306">
        <v>7</v>
      </c>
    </row>
    <row r="307" spans="6:8" x14ac:dyDescent="0.25">
      <c r="F307">
        <v>306</v>
      </c>
      <c r="G307" t="s">
        <v>370</v>
      </c>
      <c r="H307">
        <v>7</v>
      </c>
    </row>
    <row r="308" spans="6:8" x14ac:dyDescent="0.25">
      <c r="F308">
        <v>307</v>
      </c>
      <c r="G308" t="s">
        <v>371</v>
      </c>
      <c r="H308">
        <v>7</v>
      </c>
    </row>
    <row r="309" spans="6:8" x14ac:dyDescent="0.25">
      <c r="F309">
        <v>308</v>
      </c>
      <c r="G309" t="s">
        <v>372</v>
      </c>
      <c r="H309">
        <v>7</v>
      </c>
    </row>
    <row r="310" spans="6:8" x14ac:dyDescent="0.25">
      <c r="F310">
        <v>309</v>
      </c>
      <c r="G310" t="s">
        <v>373</v>
      </c>
      <c r="H310">
        <v>7</v>
      </c>
    </row>
    <row r="311" spans="6:8" x14ac:dyDescent="0.25">
      <c r="F311">
        <v>310</v>
      </c>
      <c r="G311" t="s">
        <v>374</v>
      </c>
      <c r="H311">
        <v>7</v>
      </c>
    </row>
    <row r="312" spans="6:8" x14ac:dyDescent="0.25">
      <c r="F312">
        <v>311</v>
      </c>
      <c r="G312" t="s">
        <v>375</v>
      </c>
      <c r="H312">
        <v>7</v>
      </c>
    </row>
    <row r="313" spans="6:8" x14ac:dyDescent="0.25">
      <c r="F313">
        <v>312</v>
      </c>
      <c r="G313" t="s">
        <v>376</v>
      </c>
      <c r="H313">
        <v>7</v>
      </c>
    </row>
    <row r="314" spans="6:8" x14ac:dyDescent="0.25">
      <c r="F314">
        <v>313</v>
      </c>
      <c r="G314" t="s">
        <v>377</v>
      </c>
      <c r="H314">
        <v>7</v>
      </c>
    </row>
    <row r="315" spans="6:8" x14ac:dyDescent="0.25">
      <c r="F315">
        <v>314</v>
      </c>
      <c r="G315" t="s">
        <v>378</v>
      </c>
      <c r="H315">
        <v>7</v>
      </c>
    </row>
    <row r="316" spans="6:8" x14ac:dyDescent="0.25">
      <c r="F316">
        <v>315</v>
      </c>
      <c r="G316" t="s">
        <v>379</v>
      </c>
      <c r="H316">
        <v>7</v>
      </c>
    </row>
    <row r="317" spans="6:8" x14ac:dyDescent="0.25">
      <c r="F317">
        <v>316</v>
      </c>
      <c r="G317" t="s">
        <v>380</v>
      </c>
      <c r="H317">
        <v>7</v>
      </c>
    </row>
    <row r="318" spans="6:8" x14ac:dyDescent="0.25">
      <c r="F318">
        <v>317</v>
      </c>
      <c r="G318" t="s">
        <v>381</v>
      </c>
      <c r="H318">
        <v>7</v>
      </c>
    </row>
    <row r="319" spans="6:8" x14ac:dyDescent="0.25">
      <c r="F319">
        <v>318</v>
      </c>
      <c r="G319" t="s">
        <v>382</v>
      </c>
      <c r="H319">
        <v>7</v>
      </c>
    </row>
    <row r="320" spans="6:8" x14ac:dyDescent="0.25">
      <c r="F320">
        <v>319</v>
      </c>
      <c r="G320" t="s">
        <v>383</v>
      </c>
      <c r="H320">
        <v>7</v>
      </c>
    </row>
    <row r="321" spans="6:8" x14ac:dyDescent="0.25">
      <c r="F321">
        <v>320</v>
      </c>
      <c r="G321" t="s">
        <v>384</v>
      </c>
      <c r="H321">
        <v>7</v>
      </c>
    </row>
    <row r="322" spans="6:8" x14ac:dyDescent="0.25">
      <c r="F322">
        <v>321</v>
      </c>
      <c r="G322" t="s">
        <v>385</v>
      </c>
      <c r="H322">
        <v>7</v>
      </c>
    </row>
    <row r="323" spans="6:8" x14ac:dyDescent="0.25">
      <c r="F323">
        <v>322</v>
      </c>
      <c r="G323" t="s">
        <v>386</v>
      </c>
      <c r="H323">
        <v>7</v>
      </c>
    </row>
    <row r="324" spans="6:8" x14ac:dyDescent="0.25">
      <c r="F324">
        <v>323</v>
      </c>
      <c r="G324" t="s">
        <v>387</v>
      </c>
      <c r="H324">
        <v>7</v>
      </c>
    </row>
    <row r="325" spans="6:8" x14ac:dyDescent="0.25">
      <c r="F325">
        <v>324</v>
      </c>
      <c r="G325" t="s">
        <v>388</v>
      </c>
      <c r="H325">
        <v>7</v>
      </c>
    </row>
    <row r="326" spans="6:8" x14ac:dyDescent="0.25">
      <c r="F326">
        <v>325</v>
      </c>
      <c r="G326" t="s">
        <v>389</v>
      </c>
      <c r="H326">
        <v>7</v>
      </c>
    </row>
    <row r="327" spans="6:8" x14ac:dyDescent="0.25">
      <c r="F327">
        <v>326</v>
      </c>
      <c r="G327" t="s">
        <v>390</v>
      </c>
      <c r="H327">
        <v>7</v>
      </c>
    </row>
    <row r="328" spans="6:8" x14ac:dyDescent="0.25">
      <c r="F328">
        <v>327</v>
      </c>
      <c r="G328" t="s">
        <v>391</v>
      </c>
      <c r="H328">
        <v>7</v>
      </c>
    </row>
    <row r="329" spans="6:8" x14ac:dyDescent="0.25">
      <c r="F329">
        <v>328</v>
      </c>
      <c r="G329" t="s">
        <v>392</v>
      </c>
      <c r="H329">
        <v>7</v>
      </c>
    </row>
    <row r="330" spans="6:8" x14ac:dyDescent="0.25">
      <c r="F330">
        <v>329</v>
      </c>
      <c r="G330" t="s">
        <v>393</v>
      </c>
      <c r="H330">
        <v>7</v>
      </c>
    </row>
    <row r="331" spans="6:8" x14ac:dyDescent="0.25">
      <c r="F331">
        <v>330</v>
      </c>
      <c r="G331" t="s">
        <v>394</v>
      </c>
      <c r="H331">
        <v>7</v>
      </c>
    </row>
    <row r="332" spans="6:8" x14ac:dyDescent="0.25">
      <c r="F332">
        <v>331</v>
      </c>
      <c r="G332" t="s">
        <v>395</v>
      </c>
      <c r="H332">
        <v>7</v>
      </c>
    </row>
    <row r="333" spans="6:8" x14ac:dyDescent="0.25">
      <c r="F333">
        <v>332</v>
      </c>
      <c r="G333" t="s">
        <v>396</v>
      </c>
      <c r="H333">
        <v>7</v>
      </c>
    </row>
    <row r="334" spans="6:8" x14ac:dyDescent="0.25">
      <c r="F334">
        <v>333</v>
      </c>
      <c r="G334" t="s">
        <v>20</v>
      </c>
      <c r="H334">
        <v>8</v>
      </c>
    </row>
    <row r="335" spans="6:8" x14ac:dyDescent="0.25">
      <c r="F335">
        <v>334</v>
      </c>
      <c r="G335" t="s">
        <v>397</v>
      </c>
      <c r="H335">
        <v>8</v>
      </c>
    </row>
    <row r="336" spans="6:8" x14ac:dyDescent="0.25">
      <c r="F336">
        <v>335</v>
      </c>
      <c r="G336" t="s">
        <v>398</v>
      </c>
      <c r="H336">
        <v>8</v>
      </c>
    </row>
    <row r="337" spans="6:8" x14ac:dyDescent="0.25">
      <c r="F337">
        <v>336</v>
      </c>
      <c r="G337" t="s">
        <v>399</v>
      </c>
      <c r="H337">
        <v>8</v>
      </c>
    </row>
    <row r="338" spans="6:8" x14ac:dyDescent="0.25">
      <c r="F338">
        <v>337</v>
      </c>
      <c r="G338" t="s">
        <v>400</v>
      </c>
      <c r="H338">
        <v>8</v>
      </c>
    </row>
    <row r="339" spans="6:8" x14ac:dyDescent="0.25">
      <c r="F339">
        <v>338</v>
      </c>
      <c r="G339" t="s">
        <v>401</v>
      </c>
      <c r="H339">
        <v>8</v>
      </c>
    </row>
    <row r="340" spans="6:8" x14ac:dyDescent="0.25">
      <c r="F340">
        <v>339</v>
      </c>
      <c r="G340" t="s">
        <v>402</v>
      </c>
      <c r="H340">
        <v>8</v>
      </c>
    </row>
    <row r="341" spans="6:8" x14ac:dyDescent="0.25">
      <c r="F341">
        <v>340</v>
      </c>
      <c r="G341" t="s">
        <v>403</v>
      </c>
      <c r="H341">
        <v>8</v>
      </c>
    </row>
    <row r="342" spans="6:8" x14ac:dyDescent="0.25">
      <c r="F342">
        <v>341</v>
      </c>
      <c r="G342" t="s">
        <v>404</v>
      </c>
      <c r="H342">
        <v>8</v>
      </c>
    </row>
    <row r="343" spans="6:8" x14ac:dyDescent="0.25">
      <c r="F343">
        <v>342</v>
      </c>
      <c r="G343" t="s">
        <v>88</v>
      </c>
      <c r="H343">
        <v>8</v>
      </c>
    </row>
    <row r="344" spans="6:8" x14ac:dyDescent="0.25">
      <c r="F344">
        <v>343</v>
      </c>
      <c r="G344" t="s">
        <v>405</v>
      </c>
      <c r="H344">
        <v>8</v>
      </c>
    </row>
    <row r="345" spans="6:8" x14ac:dyDescent="0.25">
      <c r="F345">
        <v>344</v>
      </c>
      <c r="G345" t="s">
        <v>406</v>
      </c>
      <c r="H345">
        <v>8</v>
      </c>
    </row>
    <row r="346" spans="6:8" x14ac:dyDescent="0.25">
      <c r="F346">
        <v>345</v>
      </c>
      <c r="G346" t="s">
        <v>407</v>
      </c>
      <c r="H346">
        <v>8</v>
      </c>
    </row>
    <row r="347" spans="6:8" x14ac:dyDescent="0.25">
      <c r="F347">
        <v>346</v>
      </c>
      <c r="G347" t="s">
        <v>408</v>
      </c>
      <c r="H347">
        <v>8</v>
      </c>
    </row>
    <row r="348" spans="6:8" x14ac:dyDescent="0.25">
      <c r="F348">
        <v>347</v>
      </c>
      <c r="G348" t="s">
        <v>409</v>
      </c>
      <c r="H348">
        <v>8</v>
      </c>
    </row>
    <row r="349" spans="6:8" x14ac:dyDescent="0.25">
      <c r="F349">
        <v>348</v>
      </c>
      <c r="G349" t="s">
        <v>410</v>
      </c>
      <c r="H349">
        <v>8</v>
      </c>
    </row>
    <row r="350" spans="6:8" x14ac:dyDescent="0.25">
      <c r="F350">
        <v>349</v>
      </c>
      <c r="G350" t="s">
        <v>411</v>
      </c>
      <c r="H350">
        <v>8</v>
      </c>
    </row>
    <row r="351" spans="6:8" x14ac:dyDescent="0.25">
      <c r="F351">
        <v>350</v>
      </c>
      <c r="G351" t="s">
        <v>412</v>
      </c>
      <c r="H351">
        <v>8</v>
      </c>
    </row>
    <row r="352" spans="6:8" x14ac:dyDescent="0.25">
      <c r="F352">
        <v>351</v>
      </c>
      <c r="G352" t="s">
        <v>413</v>
      </c>
      <c r="H352">
        <v>8</v>
      </c>
    </row>
    <row r="353" spans="6:8" x14ac:dyDescent="0.25">
      <c r="F353">
        <v>352</v>
      </c>
      <c r="G353" t="s">
        <v>414</v>
      </c>
      <c r="H353">
        <v>8</v>
      </c>
    </row>
    <row r="354" spans="6:8" x14ac:dyDescent="0.25">
      <c r="F354">
        <v>353</v>
      </c>
      <c r="G354" t="s">
        <v>76</v>
      </c>
      <c r="H354">
        <v>8</v>
      </c>
    </row>
    <row r="355" spans="6:8" x14ac:dyDescent="0.25">
      <c r="F355">
        <v>354</v>
      </c>
      <c r="G355" t="s">
        <v>415</v>
      </c>
      <c r="H355">
        <v>8</v>
      </c>
    </row>
    <row r="356" spans="6:8" x14ac:dyDescent="0.25">
      <c r="F356">
        <v>355</v>
      </c>
      <c r="G356" t="s">
        <v>416</v>
      </c>
      <c r="H356">
        <v>8</v>
      </c>
    </row>
    <row r="357" spans="6:8" x14ac:dyDescent="0.25">
      <c r="F357">
        <v>356</v>
      </c>
      <c r="G357" t="s">
        <v>39</v>
      </c>
      <c r="H357">
        <v>8</v>
      </c>
    </row>
    <row r="358" spans="6:8" x14ac:dyDescent="0.25">
      <c r="F358">
        <v>357</v>
      </c>
      <c r="G358" t="s">
        <v>417</v>
      </c>
      <c r="H358">
        <v>8</v>
      </c>
    </row>
    <row r="359" spans="6:8" x14ac:dyDescent="0.25">
      <c r="F359">
        <v>358</v>
      </c>
      <c r="G359" t="s">
        <v>418</v>
      </c>
      <c r="H359">
        <v>8</v>
      </c>
    </row>
    <row r="360" spans="6:8" x14ac:dyDescent="0.25">
      <c r="F360">
        <v>359</v>
      </c>
      <c r="G360" t="s">
        <v>419</v>
      </c>
      <c r="H360">
        <v>8</v>
      </c>
    </row>
    <row r="361" spans="6:8" x14ac:dyDescent="0.25">
      <c r="F361">
        <v>360</v>
      </c>
      <c r="G361" t="s">
        <v>420</v>
      </c>
      <c r="H361">
        <v>9</v>
      </c>
    </row>
    <row r="362" spans="6:8" x14ac:dyDescent="0.25">
      <c r="F362">
        <v>361</v>
      </c>
      <c r="G362" t="s">
        <v>40</v>
      </c>
      <c r="H362">
        <v>9</v>
      </c>
    </row>
    <row r="363" spans="6:8" x14ac:dyDescent="0.25">
      <c r="F363">
        <v>362</v>
      </c>
      <c r="G363" t="s">
        <v>421</v>
      </c>
      <c r="H363">
        <v>9</v>
      </c>
    </row>
    <row r="364" spans="6:8" x14ac:dyDescent="0.25">
      <c r="F364">
        <v>363</v>
      </c>
      <c r="G364" t="s">
        <v>422</v>
      </c>
      <c r="H364">
        <v>9</v>
      </c>
    </row>
    <row r="365" spans="6:8" x14ac:dyDescent="0.25">
      <c r="F365">
        <v>364</v>
      </c>
      <c r="G365" t="s">
        <v>423</v>
      </c>
      <c r="H365">
        <v>9</v>
      </c>
    </row>
    <row r="366" spans="6:8" x14ac:dyDescent="0.25">
      <c r="F366">
        <v>365</v>
      </c>
      <c r="G366" t="s">
        <v>424</v>
      </c>
      <c r="H366">
        <v>9</v>
      </c>
    </row>
    <row r="367" spans="6:8" x14ac:dyDescent="0.25">
      <c r="F367">
        <v>366</v>
      </c>
      <c r="G367" t="s">
        <v>425</v>
      </c>
      <c r="H367">
        <v>9</v>
      </c>
    </row>
    <row r="368" spans="6:8" x14ac:dyDescent="0.25">
      <c r="F368">
        <v>367</v>
      </c>
      <c r="G368" t="s">
        <v>426</v>
      </c>
      <c r="H368">
        <v>9</v>
      </c>
    </row>
    <row r="369" spans="6:8" x14ac:dyDescent="0.25">
      <c r="F369">
        <v>368</v>
      </c>
      <c r="G369" t="s">
        <v>427</v>
      </c>
      <c r="H369">
        <v>9</v>
      </c>
    </row>
    <row r="370" spans="6:8" x14ac:dyDescent="0.25">
      <c r="F370">
        <v>369</v>
      </c>
      <c r="G370" t="s">
        <v>428</v>
      </c>
      <c r="H370">
        <v>9</v>
      </c>
    </row>
    <row r="371" spans="6:8" x14ac:dyDescent="0.25">
      <c r="F371">
        <v>370</v>
      </c>
      <c r="G371" t="s">
        <v>429</v>
      </c>
      <c r="H371">
        <v>9</v>
      </c>
    </row>
    <row r="372" spans="6:8" x14ac:dyDescent="0.25">
      <c r="F372">
        <v>371</v>
      </c>
      <c r="G372" t="s">
        <v>430</v>
      </c>
      <c r="H372">
        <v>9</v>
      </c>
    </row>
    <row r="373" spans="6:8" x14ac:dyDescent="0.25">
      <c r="F373">
        <v>372</v>
      </c>
      <c r="G373" t="s">
        <v>431</v>
      </c>
      <c r="H373">
        <v>9</v>
      </c>
    </row>
    <row r="374" spans="6:8" x14ac:dyDescent="0.25">
      <c r="F374">
        <v>373</v>
      </c>
      <c r="G374" t="s">
        <v>432</v>
      </c>
      <c r="H374">
        <v>9</v>
      </c>
    </row>
    <row r="375" spans="6:8" x14ac:dyDescent="0.25">
      <c r="F375">
        <v>374</v>
      </c>
      <c r="G375" t="s">
        <v>41</v>
      </c>
      <c r="H375">
        <v>9</v>
      </c>
    </row>
    <row r="376" spans="6:8" x14ac:dyDescent="0.25">
      <c r="F376">
        <v>375</v>
      </c>
      <c r="G376" t="s">
        <v>203</v>
      </c>
      <c r="H376">
        <v>9</v>
      </c>
    </row>
    <row r="377" spans="6:8" x14ac:dyDescent="0.25">
      <c r="F377">
        <v>376</v>
      </c>
      <c r="G377" t="s">
        <v>433</v>
      </c>
      <c r="H377">
        <v>10</v>
      </c>
    </row>
    <row r="378" spans="6:8" x14ac:dyDescent="0.25">
      <c r="F378">
        <v>377</v>
      </c>
      <c r="G378" t="s">
        <v>434</v>
      </c>
      <c r="H378">
        <v>10</v>
      </c>
    </row>
    <row r="379" spans="6:8" x14ac:dyDescent="0.25">
      <c r="F379">
        <v>378</v>
      </c>
      <c r="G379" t="s">
        <v>435</v>
      </c>
      <c r="H379">
        <v>10</v>
      </c>
    </row>
    <row r="380" spans="6:8" x14ac:dyDescent="0.25">
      <c r="F380">
        <v>379</v>
      </c>
      <c r="G380" t="s">
        <v>436</v>
      </c>
      <c r="H380">
        <v>10</v>
      </c>
    </row>
    <row r="381" spans="6:8" x14ac:dyDescent="0.25">
      <c r="F381">
        <v>380</v>
      </c>
      <c r="G381" t="s">
        <v>437</v>
      </c>
      <c r="H381">
        <v>10</v>
      </c>
    </row>
    <row r="382" spans="6:8" x14ac:dyDescent="0.25">
      <c r="F382">
        <v>381</v>
      </c>
      <c r="G382" t="s">
        <v>438</v>
      </c>
      <c r="H382">
        <v>10</v>
      </c>
    </row>
    <row r="383" spans="6:8" x14ac:dyDescent="0.25">
      <c r="F383">
        <v>382</v>
      </c>
      <c r="G383" t="s">
        <v>439</v>
      </c>
      <c r="H383">
        <v>10</v>
      </c>
    </row>
    <row r="384" spans="6:8" x14ac:dyDescent="0.25">
      <c r="F384">
        <v>383</v>
      </c>
      <c r="G384" t="s">
        <v>354</v>
      </c>
      <c r="H384">
        <v>10</v>
      </c>
    </row>
    <row r="385" spans="6:8" x14ac:dyDescent="0.25">
      <c r="F385">
        <v>384</v>
      </c>
      <c r="G385" t="s">
        <v>175</v>
      </c>
      <c r="H385">
        <v>10</v>
      </c>
    </row>
    <row r="386" spans="6:8" x14ac:dyDescent="0.25">
      <c r="F386">
        <v>385</v>
      </c>
      <c r="G386" t="s">
        <v>440</v>
      </c>
      <c r="H386">
        <v>10</v>
      </c>
    </row>
    <row r="387" spans="6:8" x14ac:dyDescent="0.25">
      <c r="F387">
        <v>386</v>
      </c>
      <c r="G387" t="s">
        <v>441</v>
      </c>
      <c r="H387">
        <v>10</v>
      </c>
    </row>
    <row r="388" spans="6:8" x14ac:dyDescent="0.25">
      <c r="F388">
        <v>387</v>
      </c>
      <c r="G388" t="s">
        <v>442</v>
      </c>
      <c r="H388">
        <v>10</v>
      </c>
    </row>
    <row r="389" spans="6:8" x14ac:dyDescent="0.25">
      <c r="F389">
        <v>388</v>
      </c>
      <c r="G389" t="s">
        <v>443</v>
      </c>
      <c r="H389">
        <v>10</v>
      </c>
    </row>
    <row r="390" spans="6:8" x14ac:dyDescent="0.25">
      <c r="F390">
        <v>389</v>
      </c>
      <c r="G390" t="s">
        <v>444</v>
      </c>
      <c r="H390">
        <v>10</v>
      </c>
    </row>
    <row r="391" spans="6:8" x14ac:dyDescent="0.25">
      <c r="F391">
        <v>390</v>
      </c>
      <c r="G391" t="s">
        <v>281</v>
      </c>
      <c r="H391">
        <v>10</v>
      </c>
    </row>
    <row r="392" spans="6:8" x14ac:dyDescent="0.25">
      <c r="F392">
        <v>391</v>
      </c>
      <c r="G392" t="s">
        <v>445</v>
      </c>
      <c r="H392">
        <v>11</v>
      </c>
    </row>
    <row r="393" spans="6:8" x14ac:dyDescent="0.25">
      <c r="F393">
        <v>392</v>
      </c>
      <c r="G393" t="s">
        <v>446</v>
      </c>
      <c r="H393">
        <v>11</v>
      </c>
    </row>
    <row r="394" spans="6:8" x14ac:dyDescent="0.25">
      <c r="F394">
        <v>393</v>
      </c>
      <c r="G394" t="s">
        <v>107</v>
      </c>
      <c r="H394">
        <v>11</v>
      </c>
    </row>
    <row r="395" spans="6:8" x14ac:dyDescent="0.25">
      <c r="F395">
        <v>394</v>
      </c>
      <c r="G395" t="s">
        <v>447</v>
      </c>
      <c r="H395">
        <v>11</v>
      </c>
    </row>
    <row r="396" spans="6:8" x14ac:dyDescent="0.25">
      <c r="F396">
        <v>395</v>
      </c>
      <c r="G396" t="s">
        <v>56</v>
      </c>
      <c r="H396">
        <v>11</v>
      </c>
    </row>
    <row r="397" spans="6:8" x14ac:dyDescent="0.25">
      <c r="F397">
        <v>396</v>
      </c>
      <c r="G397" t="s">
        <v>448</v>
      </c>
      <c r="H397">
        <v>11</v>
      </c>
    </row>
    <row r="398" spans="6:8" x14ac:dyDescent="0.25">
      <c r="F398">
        <v>397</v>
      </c>
      <c r="G398" t="s">
        <v>449</v>
      </c>
      <c r="H398">
        <v>11</v>
      </c>
    </row>
    <row r="399" spans="6:8" x14ac:dyDescent="0.25">
      <c r="F399">
        <v>398</v>
      </c>
      <c r="G399" t="s">
        <v>450</v>
      </c>
      <c r="H399">
        <v>11</v>
      </c>
    </row>
    <row r="400" spans="6:8" x14ac:dyDescent="0.25">
      <c r="F400">
        <v>399</v>
      </c>
      <c r="G400" t="s">
        <v>451</v>
      </c>
      <c r="H400">
        <v>11</v>
      </c>
    </row>
    <row r="401" spans="6:8" x14ac:dyDescent="0.25">
      <c r="F401">
        <v>400</v>
      </c>
      <c r="G401" t="s">
        <v>452</v>
      </c>
      <c r="H401">
        <v>11</v>
      </c>
    </row>
    <row r="402" spans="6:8" x14ac:dyDescent="0.25">
      <c r="F402">
        <v>401</v>
      </c>
      <c r="G402" t="s">
        <v>453</v>
      </c>
      <c r="H402">
        <v>11</v>
      </c>
    </row>
    <row r="403" spans="6:8" x14ac:dyDescent="0.25">
      <c r="F403">
        <v>402</v>
      </c>
      <c r="G403" t="s">
        <v>420</v>
      </c>
      <c r="H403">
        <v>11</v>
      </c>
    </row>
    <row r="404" spans="6:8" x14ac:dyDescent="0.25">
      <c r="F404">
        <v>403</v>
      </c>
      <c r="G404" t="s">
        <v>454</v>
      </c>
      <c r="H404">
        <v>11</v>
      </c>
    </row>
    <row r="405" spans="6:8" x14ac:dyDescent="0.25">
      <c r="F405">
        <v>404</v>
      </c>
      <c r="G405" t="s">
        <v>455</v>
      </c>
      <c r="H405">
        <v>11</v>
      </c>
    </row>
    <row r="406" spans="6:8" x14ac:dyDescent="0.25">
      <c r="F406">
        <v>405</v>
      </c>
      <c r="G406" t="s">
        <v>456</v>
      </c>
      <c r="H406">
        <v>11</v>
      </c>
    </row>
    <row r="407" spans="6:8" x14ac:dyDescent="0.25">
      <c r="F407">
        <v>406</v>
      </c>
      <c r="G407" t="s">
        <v>457</v>
      </c>
      <c r="H407">
        <v>11</v>
      </c>
    </row>
    <row r="408" spans="6:8" x14ac:dyDescent="0.25">
      <c r="F408">
        <v>407</v>
      </c>
      <c r="G408" t="s">
        <v>458</v>
      </c>
      <c r="H408">
        <v>11</v>
      </c>
    </row>
    <row r="409" spans="6:8" x14ac:dyDescent="0.25">
      <c r="F409">
        <v>408</v>
      </c>
      <c r="G409" t="s">
        <v>459</v>
      </c>
      <c r="H409">
        <v>11</v>
      </c>
    </row>
    <row r="410" spans="6:8" x14ac:dyDescent="0.25">
      <c r="F410">
        <v>409</v>
      </c>
      <c r="G410" t="s">
        <v>460</v>
      </c>
      <c r="H410">
        <v>11</v>
      </c>
    </row>
    <row r="411" spans="6:8" x14ac:dyDescent="0.25">
      <c r="F411">
        <v>410</v>
      </c>
      <c r="G411" t="s">
        <v>461</v>
      </c>
      <c r="H411">
        <v>11</v>
      </c>
    </row>
    <row r="412" spans="6:8" x14ac:dyDescent="0.25">
      <c r="F412">
        <v>411</v>
      </c>
      <c r="G412" t="s">
        <v>462</v>
      </c>
      <c r="H412">
        <v>11</v>
      </c>
    </row>
    <row r="413" spans="6:8" x14ac:dyDescent="0.25">
      <c r="F413">
        <v>412</v>
      </c>
      <c r="G413" t="s">
        <v>261</v>
      </c>
      <c r="H413">
        <v>11</v>
      </c>
    </row>
    <row r="414" spans="6:8" x14ac:dyDescent="0.25">
      <c r="F414">
        <v>413</v>
      </c>
      <c r="G414" t="s">
        <v>463</v>
      </c>
      <c r="H414">
        <v>11</v>
      </c>
    </row>
    <row r="415" spans="6:8" x14ac:dyDescent="0.25">
      <c r="F415">
        <v>414</v>
      </c>
      <c r="G415" t="s">
        <v>341</v>
      </c>
      <c r="H415">
        <v>11</v>
      </c>
    </row>
    <row r="416" spans="6:8" x14ac:dyDescent="0.25">
      <c r="F416">
        <v>415</v>
      </c>
      <c r="G416" t="s">
        <v>464</v>
      </c>
      <c r="H416">
        <v>11</v>
      </c>
    </row>
    <row r="417" spans="6:8" x14ac:dyDescent="0.25">
      <c r="F417">
        <v>416</v>
      </c>
      <c r="G417" t="s">
        <v>465</v>
      </c>
      <c r="H417">
        <v>11</v>
      </c>
    </row>
    <row r="418" spans="6:8" x14ac:dyDescent="0.25">
      <c r="F418">
        <v>417</v>
      </c>
      <c r="G418" t="s">
        <v>466</v>
      </c>
      <c r="H418">
        <v>11</v>
      </c>
    </row>
    <row r="419" spans="6:8" x14ac:dyDescent="0.25">
      <c r="F419">
        <v>418</v>
      </c>
      <c r="G419" t="s">
        <v>467</v>
      </c>
      <c r="H419">
        <v>11</v>
      </c>
    </row>
    <row r="420" spans="6:8" x14ac:dyDescent="0.25">
      <c r="F420">
        <v>419</v>
      </c>
      <c r="G420" t="s">
        <v>468</v>
      </c>
      <c r="H420">
        <v>11</v>
      </c>
    </row>
    <row r="421" spans="6:8" x14ac:dyDescent="0.25">
      <c r="F421">
        <v>420</v>
      </c>
      <c r="G421" t="s">
        <v>469</v>
      </c>
      <c r="H421">
        <v>11</v>
      </c>
    </row>
    <row r="422" spans="6:8" x14ac:dyDescent="0.25">
      <c r="F422">
        <v>421</v>
      </c>
      <c r="G422" t="s">
        <v>470</v>
      </c>
      <c r="H422">
        <v>11</v>
      </c>
    </row>
    <row r="423" spans="6:8" x14ac:dyDescent="0.25">
      <c r="F423">
        <v>422</v>
      </c>
      <c r="G423" t="s">
        <v>24</v>
      </c>
      <c r="H423">
        <v>11</v>
      </c>
    </row>
    <row r="424" spans="6:8" x14ac:dyDescent="0.25">
      <c r="F424">
        <v>423</v>
      </c>
      <c r="G424" t="s">
        <v>471</v>
      </c>
      <c r="H424">
        <v>11</v>
      </c>
    </row>
    <row r="425" spans="6:8" x14ac:dyDescent="0.25">
      <c r="F425">
        <v>424</v>
      </c>
      <c r="G425" t="s">
        <v>472</v>
      </c>
      <c r="H425">
        <v>11</v>
      </c>
    </row>
    <row r="426" spans="6:8" x14ac:dyDescent="0.25">
      <c r="F426">
        <v>425</v>
      </c>
      <c r="G426" t="s">
        <v>473</v>
      </c>
      <c r="H426">
        <v>11</v>
      </c>
    </row>
    <row r="427" spans="6:8" x14ac:dyDescent="0.25">
      <c r="F427">
        <v>426</v>
      </c>
      <c r="G427" t="s">
        <v>474</v>
      </c>
      <c r="H427">
        <v>11</v>
      </c>
    </row>
    <row r="428" spans="6:8" x14ac:dyDescent="0.25">
      <c r="F428">
        <v>427</v>
      </c>
      <c r="G428" t="s">
        <v>79</v>
      </c>
      <c r="H428">
        <v>11</v>
      </c>
    </row>
    <row r="429" spans="6:8" x14ac:dyDescent="0.25">
      <c r="F429">
        <v>428</v>
      </c>
      <c r="G429" t="s">
        <v>475</v>
      </c>
      <c r="H429">
        <v>11</v>
      </c>
    </row>
    <row r="430" spans="6:8" x14ac:dyDescent="0.25">
      <c r="F430">
        <v>429</v>
      </c>
      <c r="G430" t="s">
        <v>476</v>
      </c>
      <c r="H430">
        <v>11</v>
      </c>
    </row>
    <row r="431" spans="6:8" x14ac:dyDescent="0.25">
      <c r="F431">
        <v>430</v>
      </c>
      <c r="G431" t="s">
        <v>477</v>
      </c>
      <c r="H431">
        <v>11</v>
      </c>
    </row>
    <row r="432" spans="6:8" x14ac:dyDescent="0.25">
      <c r="F432">
        <v>431</v>
      </c>
      <c r="G432" t="s">
        <v>478</v>
      </c>
      <c r="H432">
        <v>11</v>
      </c>
    </row>
    <row r="433" spans="6:8" x14ac:dyDescent="0.25">
      <c r="F433">
        <v>432</v>
      </c>
      <c r="G433" t="s">
        <v>479</v>
      </c>
      <c r="H433">
        <v>11</v>
      </c>
    </row>
    <row r="434" spans="6:8" x14ac:dyDescent="0.25">
      <c r="F434">
        <v>433</v>
      </c>
      <c r="G434" t="s">
        <v>480</v>
      </c>
      <c r="H434">
        <v>12</v>
      </c>
    </row>
    <row r="435" spans="6:8" x14ac:dyDescent="0.25">
      <c r="F435">
        <v>434</v>
      </c>
      <c r="G435" t="s">
        <v>481</v>
      </c>
      <c r="H435">
        <v>12</v>
      </c>
    </row>
    <row r="436" spans="6:8" x14ac:dyDescent="0.25">
      <c r="F436">
        <v>435</v>
      </c>
      <c r="G436" t="s">
        <v>482</v>
      </c>
      <c r="H436">
        <v>12</v>
      </c>
    </row>
    <row r="437" spans="6:8" x14ac:dyDescent="0.25">
      <c r="F437">
        <v>436</v>
      </c>
      <c r="G437" t="s">
        <v>483</v>
      </c>
      <c r="H437">
        <v>12</v>
      </c>
    </row>
    <row r="438" spans="6:8" x14ac:dyDescent="0.25">
      <c r="F438">
        <v>437</v>
      </c>
      <c r="G438" t="s">
        <v>484</v>
      </c>
      <c r="H438">
        <v>12</v>
      </c>
    </row>
    <row r="439" spans="6:8" x14ac:dyDescent="0.25">
      <c r="F439">
        <v>438</v>
      </c>
      <c r="G439" t="s">
        <v>485</v>
      </c>
      <c r="H439">
        <v>12</v>
      </c>
    </row>
    <row r="440" spans="6:8" x14ac:dyDescent="0.25">
      <c r="F440">
        <v>439</v>
      </c>
      <c r="G440" t="s">
        <v>486</v>
      </c>
      <c r="H440">
        <v>12</v>
      </c>
    </row>
    <row r="441" spans="6:8" x14ac:dyDescent="0.25">
      <c r="F441">
        <v>440</v>
      </c>
      <c r="G441" t="s">
        <v>487</v>
      </c>
      <c r="H441">
        <v>12</v>
      </c>
    </row>
    <row r="442" spans="6:8" x14ac:dyDescent="0.25">
      <c r="F442">
        <v>441</v>
      </c>
      <c r="G442" t="s">
        <v>488</v>
      </c>
      <c r="H442">
        <v>12</v>
      </c>
    </row>
    <row r="443" spans="6:8" x14ac:dyDescent="0.25">
      <c r="F443">
        <v>442</v>
      </c>
      <c r="G443" t="s">
        <v>489</v>
      </c>
      <c r="H443">
        <v>12</v>
      </c>
    </row>
    <row r="444" spans="6:8" x14ac:dyDescent="0.25">
      <c r="F444">
        <v>443</v>
      </c>
      <c r="G444" t="s">
        <v>490</v>
      </c>
      <c r="H444">
        <v>12</v>
      </c>
    </row>
    <row r="445" spans="6:8" x14ac:dyDescent="0.25">
      <c r="F445">
        <v>444</v>
      </c>
      <c r="G445" t="s">
        <v>491</v>
      </c>
      <c r="H445">
        <v>12</v>
      </c>
    </row>
    <row r="446" spans="6:8" x14ac:dyDescent="0.25">
      <c r="F446">
        <v>445</v>
      </c>
      <c r="G446" t="s">
        <v>492</v>
      </c>
      <c r="H446">
        <v>12</v>
      </c>
    </row>
    <row r="447" spans="6:8" x14ac:dyDescent="0.25">
      <c r="F447">
        <v>446</v>
      </c>
      <c r="G447" t="s">
        <v>493</v>
      </c>
      <c r="H447">
        <v>12</v>
      </c>
    </row>
    <row r="448" spans="6:8" x14ac:dyDescent="0.25">
      <c r="F448">
        <v>447</v>
      </c>
      <c r="G448" t="s">
        <v>494</v>
      </c>
      <c r="H448">
        <v>12</v>
      </c>
    </row>
    <row r="449" spans="6:8" x14ac:dyDescent="0.25">
      <c r="F449">
        <v>448</v>
      </c>
      <c r="G449" t="s">
        <v>495</v>
      </c>
      <c r="H449">
        <v>12</v>
      </c>
    </row>
    <row r="450" spans="6:8" x14ac:dyDescent="0.25">
      <c r="F450">
        <v>449</v>
      </c>
      <c r="G450" t="s">
        <v>496</v>
      </c>
      <c r="H450">
        <v>12</v>
      </c>
    </row>
    <row r="451" spans="6:8" x14ac:dyDescent="0.25">
      <c r="F451">
        <v>450</v>
      </c>
      <c r="G451" t="s">
        <v>497</v>
      </c>
      <c r="H451">
        <v>12</v>
      </c>
    </row>
    <row r="452" spans="6:8" x14ac:dyDescent="0.25">
      <c r="F452">
        <v>451</v>
      </c>
      <c r="G452" t="s">
        <v>498</v>
      </c>
      <c r="H452">
        <v>12</v>
      </c>
    </row>
    <row r="453" spans="6:8" x14ac:dyDescent="0.25">
      <c r="F453">
        <v>452</v>
      </c>
      <c r="G453" t="s">
        <v>499</v>
      </c>
      <c r="H453">
        <v>12</v>
      </c>
    </row>
    <row r="454" spans="6:8" x14ac:dyDescent="0.25">
      <c r="F454">
        <v>453</v>
      </c>
      <c r="G454" t="s">
        <v>500</v>
      </c>
      <c r="H454">
        <v>12</v>
      </c>
    </row>
    <row r="455" spans="6:8" x14ac:dyDescent="0.25">
      <c r="F455">
        <v>454</v>
      </c>
      <c r="G455" t="s">
        <v>501</v>
      </c>
      <c r="H455">
        <v>12</v>
      </c>
    </row>
    <row r="456" spans="6:8" x14ac:dyDescent="0.25">
      <c r="F456">
        <v>455</v>
      </c>
      <c r="G456" t="s">
        <v>502</v>
      </c>
      <c r="H456">
        <v>12</v>
      </c>
    </row>
    <row r="457" spans="6:8" x14ac:dyDescent="0.25">
      <c r="F457">
        <v>456</v>
      </c>
      <c r="G457" t="s">
        <v>503</v>
      </c>
      <c r="H457">
        <v>12</v>
      </c>
    </row>
    <row r="458" spans="6:8" x14ac:dyDescent="0.25">
      <c r="F458">
        <v>457</v>
      </c>
      <c r="G458" t="s">
        <v>504</v>
      </c>
      <c r="H458">
        <v>13</v>
      </c>
    </row>
    <row r="459" spans="6:8" x14ac:dyDescent="0.25">
      <c r="F459">
        <v>458</v>
      </c>
      <c r="G459" t="s">
        <v>505</v>
      </c>
      <c r="H459">
        <v>13</v>
      </c>
    </row>
    <row r="460" spans="6:8" x14ac:dyDescent="0.25">
      <c r="F460">
        <v>459</v>
      </c>
      <c r="G460" t="s">
        <v>506</v>
      </c>
      <c r="H460">
        <v>13</v>
      </c>
    </row>
    <row r="461" spans="6:8" x14ac:dyDescent="0.25">
      <c r="F461">
        <v>460</v>
      </c>
      <c r="G461" t="s">
        <v>507</v>
      </c>
      <c r="H461">
        <v>13</v>
      </c>
    </row>
    <row r="462" spans="6:8" x14ac:dyDescent="0.25">
      <c r="F462">
        <v>461</v>
      </c>
      <c r="G462" t="s">
        <v>508</v>
      </c>
      <c r="H462">
        <v>13</v>
      </c>
    </row>
    <row r="463" spans="6:8" x14ac:dyDescent="0.25">
      <c r="F463">
        <v>462</v>
      </c>
      <c r="G463" t="s">
        <v>509</v>
      </c>
      <c r="H463">
        <v>13</v>
      </c>
    </row>
    <row r="464" spans="6:8" x14ac:dyDescent="0.25">
      <c r="F464">
        <v>463</v>
      </c>
      <c r="G464" t="s">
        <v>510</v>
      </c>
      <c r="H464">
        <v>13</v>
      </c>
    </row>
    <row r="465" spans="6:8" x14ac:dyDescent="0.25">
      <c r="F465">
        <v>464</v>
      </c>
      <c r="G465" t="s">
        <v>511</v>
      </c>
      <c r="H465">
        <v>13</v>
      </c>
    </row>
    <row r="466" spans="6:8" x14ac:dyDescent="0.25">
      <c r="F466">
        <v>465</v>
      </c>
      <c r="G466" t="s">
        <v>512</v>
      </c>
      <c r="H466">
        <v>13</v>
      </c>
    </row>
    <row r="467" spans="6:8" x14ac:dyDescent="0.25">
      <c r="F467">
        <v>466</v>
      </c>
      <c r="G467" t="s">
        <v>513</v>
      </c>
      <c r="H467">
        <v>13</v>
      </c>
    </row>
    <row r="468" spans="6:8" x14ac:dyDescent="0.25">
      <c r="F468">
        <v>467</v>
      </c>
      <c r="G468" t="s">
        <v>514</v>
      </c>
      <c r="H468">
        <v>13</v>
      </c>
    </row>
    <row r="469" spans="6:8" x14ac:dyDescent="0.25">
      <c r="F469">
        <v>468</v>
      </c>
      <c r="G469" t="s">
        <v>515</v>
      </c>
      <c r="H469">
        <v>13</v>
      </c>
    </row>
    <row r="470" spans="6:8" x14ac:dyDescent="0.25">
      <c r="F470">
        <v>469</v>
      </c>
      <c r="G470" t="s">
        <v>516</v>
      </c>
      <c r="H470">
        <v>13</v>
      </c>
    </row>
    <row r="471" spans="6:8" x14ac:dyDescent="0.25">
      <c r="F471">
        <v>470</v>
      </c>
      <c r="G471" t="s">
        <v>517</v>
      </c>
      <c r="H471">
        <v>13</v>
      </c>
    </row>
    <row r="472" spans="6:8" x14ac:dyDescent="0.25">
      <c r="F472">
        <v>471</v>
      </c>
      <c r="G472" t="s">
        <v>518</v>
      </c>
      <c r="H472">
        <v>13</v>
      </c>
    </row>
    <row r="473" spans="6:8" x14ac:dyDescent="0.25">
      <c r="F473">
        <v>472</v>
      </c>
      <c r="G473" t="s">
        <v>519</v>
      </c>
      <c r="H473">
        <v>13</v>
      </c>
    </row>
    <row r="474" spans="6:8" x14ac:dyDescent="0.25">
      <c r="F474">
        <v>473</v>
      </c>
      <c r="G474" t="s">
        <v>520</v>
      </c>
      <c r="H474">
        <v>13</v>
      </c>
    </row>
    <row r="475" spans="6:8" x14ac:dyDescent="0.25">
      <c r="F475">
        <v>474</v>
      </c>
      <c r="G475" t="s">
        <v>521</v>
      </c>
      <c r="H475">
        <v>13</v>
      </c>
    </row>
    <row r="476" spans="6:8" x14ac:dyDescent="0.25">
      <c r="F476">
        <v>475</v>
      </c>
      <c r="G476" t="s">
        <v>522</v>
      </c>
      <c r="H476">
        <v>13</v>
      </c>
    </row>
    <row r="477" spans="6:8" x14ac:dyDescent="0.25">
      <c r="F477">
        <v>476</v>
      </c>
      <c r="G477" t="s">
        <v>523</v>
      </c>
      <c r="H477">
        <v>13</v>
      </c>
    </row>
    <row r="478" spans="6:8" x14ac:dyDescent="0.25">
      <c r="F478">
        <v>477</v>
      </c>
      <c r="G478" t="s">
        <v>524</v>
      </c>
      <c r="H478">
        <v>13</v>
      </c>
    </row>
    <row r="479" spans="6:8" x14ac:dyDescent="0.25">
      <c r="F479">
        <v>478</v>
      </c>
      <c r="G479" t="s">
        <v>525</v>
      </c>
      <c r="H479">
        <v>13</v>
      </c>
    </row>
    <row r="480" spans="6:8" x14ac:dyDescent="0.25">
      <c r="F480">
        <v>479</v>
      </c>
      <c r="G480" t="s">
        <v>414</v>
      </c>
      <c r="H480">
        <v>13</v>
      </c>
    </row>
    <row r="481" spans="6:8" x14ac:dyDescent="0.25">
      <c r="F481">
        <v>480</v>
      </c>
      <c r="G481" t="s">
        <v>526</v>
      </c>
      <c r="H481">
        <v>13</v>
      </c>
    </row>
    <row r="482" spans="6:8" x14ac:dyDescent="0.25">
      <c r="F482">
        <v>481</v>
      </c>
      <c r="G482" t="s">
        <v>527</v>
      </c>
      <c r="H482">
        <v>13</v>
      </c>
    </row>
    <row r="483" spans="6:8" x14ac:dyDescent="0.25">
      <c r="F483">
        <v>482</v>
      </c>
      <c r="G483" t="s">
        <v>528</v>
      </c>
      <c r="H483">
        <v>13</v>
      </c>
    </row>
    <row r="484" spans="6:8" x14ac:dyDescent="0.25">
      <c r="F484">
        <v>483</v>
      </c>
      <c r="G484" t="s">
        <v>529</v>
      </c>
      <c r="H484">
        <v>13</v>
      </c>
    </row>
    <row r="485" spans="6:8" x14ac:dyDescent="0.25">
      <c r="F485">
        <v>484</v>
      </c>
      <c r="G485" t="s">
        <v>530</v>
      </c>
      <c r="H485">
        <v>13</v>
      </c>
    </row>
    <row r="486" spans="6:8" x14ac:dyDescent="0.25">
      <c r="F486">
        <v>485</v>
      </c>
      <c r="G486" t="s">
        <v>531</v>
      </c>
      <c r="H486">
        <v>14</v>
      </c>
    </row>
    <row r="487" spans="6:8" x14ac:dyDescent="0.25">
      <c r="F487">
        <v>486</v>
      </c>
      <c r="G487" t="s">
        <v>532</v>
      </c>
      <c r="H487">
        <v>14</v>
      </c>
    </row>
    <row r="488" spans="6:8" x14ac:dyDescent="0.25">
      <c r="F488">
        <v>487</v>
      </c>
      <c r="G488" t="s">
        <v>291</v>
      </c>
      <c r="H488">
        <v>14</v>
      </c>
    </row>
    <row r="489" spans="6:8" x14ac:dyDescent="0.25">
      <c r="F489">
        <v>488</v>
      </c>
      <c r="G489" t="s">
        <v>533</v>
      </c>
      <c r="H489">
        <v>14</v>
      </c>
    </row>
    <row r="490" spans="6:8" x14ac:dyDescent="0.25">
      <c r="F490">
        <v>489</v>
      </c>
      <c r="G490" t="s">
        <v>534</v>
      </c>
      <c r="H490">
        <v>14</v>
      </c>
    </row>
    <row r="491" spans="6:8" x14ac:dyDescent="0.25">
      <c r="F491">
        <v>490</v>
      </c>
      <c r="G491" t="s">
        <v>535</v>
      </c>
      <c r="H491">
        <v>14</v>
      </c>
    </row>
    <row r="492" spans="6:8" x14ac:dyDescent="0.25">
      <c r="F492">
        <v>491</v>
      </c>
      <c r="G492" t="s">
        <v>536</v>
      </c>
      <c r="H492">
        <v>14</v>
      </c>
    </row>
    <row r="493" spans="6:8" x14ac:dyDescent="0.25">
      <c r="F493">
        <v>492</v>
      </c>
      <c r="G493" t="s">
        <v>537</v>
      </c>
      <c r="H493">
        <v>14</v>
      </c>
    </row>
    <row r="494" spans="6:8" x14ac:dyDescent="0.25">
      <c r="F494">
        <v>493</v>
      </c>
      <c r="G494" t="s">
        <v>538</v>
      </c>
      <c r="H494">
        <v>14</v>
      </c>
    </row>
    <row r="495" spans="6:8" x14ac:dyDescent="0.25">
      <c r="F495">
        <v>494</v>
      </c>
      <c r="G495" t="s">
        <v>539</v>
      </c>
      <c r="H495">
        <v>14</v>
      </c>
    </row>
    <row r="496" spans="6:8" x14ac:dyDescent="0.25">
      <c r="F496">
        <v>495</v>
      </c>
      <c r="G496" t="s">
        <v>540</v>
      </c>
      <c r="H496">
        <v>14</v>
      </c>
    </row>
    <row r="497" spans="6:8" x14ac:dyDescent="0.25">
      <c r="F497">
        <v>496</v>
      </c>
      <c r="G497" t="s">
        <v>541</v>
      </c>
      <c r="H497">
        <v>14</v>
      </c>
    </row>
    <row r="498" spans="6:8" x14ac:dyDescent="0.25">
      <c r="F498">
        <v>497</v>
      </c>
      <c r="G498" t="s">
        <v>542</v>
      </c>
      <c r="H498">
        <v>14</v>
      </c>
    </row>
    <row r="499" spans="6:8" x14ac:dyDescent="0.25">
      <c r="F499">
        <v>498</v>
      </c>
      <c r="G499" t="s">
        <v>543</v>
      </c>
      <c r="H499">
        <v>14</v>
      </c>
    </row>
    <row r="500" spans="6:8" x14ac:dyDescent="0.25">
      <c r="F500">
        <v>499</v>
      </c>
      <c r="G500" t="s">
        <v>544</v>
      </c>
      <c r="H500">
        <v>14</v>
      </c>
    </row>
    <row r="501" spans="6:8" x14ac:dyDescent="0.25">
      <c r="F501">
        <v>500</v>
      </c>
      <c r="G501" t="s">
        <v>545</v>
      </c>
      <c r="H501">
        <v>14</v>
      </c>
    </row>
    <row r="502" spans="6:8" x14ac:dyDescent="0.25">
      <c r="F502">
        <v>501</v>
      </c>
      <c r="G502" t="s">
        <v>546</v>
      </c>
      <c r="H502">
        <v>14</v>
      </c>
    </row>
    <row r="503" spans="6:8" x14ac:dyDescent="0.25">
      <c r="F503">
        <v>502</v>
      </c>
      <c r="G503" t="s">
        <v>547</v>
      </c>
      <c r="H503">
        <v>14</v>
      </c>
    </row>
    <row r="504" spans="6:8" x14ac:dyDescent="0.25">
      <c r="F504">
        <v>503</v>
      </c>
      <c r="G504" t="s">
        <v>548</v>
      </c>
      <c r="H504">
        <v>14</v>
      </c>
    </row>
    <row r="505" spans="6:8" x14ac:dyDescent="0.25">
      <c r="F505">
        <v>504</v>
      </c>
      <c r="G505" t="s">
        <v>549</v>
      </c>
      <c r="H505">
        <v>14</v>
      </c>
    </row>
    <row r="506" spans="6:8" x14ac:dyDescent="0.25">
      <c r="F506">
        <v>505</v>
      </c>
      <c r="G506" t="s">
        <v>550</v>
      </c>
      <c r="H506">
        <v>14</v>
      </c>
    </row>
    <row r="507" spans="6:8" x14ac:dyDescent="0.25">
      <c r="F507">
        <v>506</v>
      </c>
      <c r="G507" t="s">
        <v>551</v>
      </c>
      <c r="H507">
        <v>14</v>
      </c>
    </row>
    <row r="508" spans="6:8" x14ac:dyDescent="0.25">
      <c r="F508">
        <v>507</v>
      </c>
      <c r="G508" t="s">
        <v>552</v>
      </c>
      <c r="H508">
        <v>14</v>
      </c>
    </row>
    <row r="509" spans="6:8" x14ac:dyDescent="0.25">
      <c r="F509">
        <v>508</v>
      </c>
      <c r="G509" t="s">
        <v>553</v>
      </c>
      <c r="H509">
        <v>14</v>
      </c>
    </row>
    <row r="510" spans="6:8" x14ac:dyDescent="0.25">
      <c r="F510">
        <v>509</v>
      </c>
      <c r="G510" t="s">
        <v>179</v>
      </c>
      <c r="H510">
        <v>14</v>
      </c>
    </row>
    <row r="511" spans="6:8" x14ac:dyDescent="0.25">
      <c r="F511">
        <v>510</v>
      </c>
      <c r="G511" t="s">
        <v>554</v>
      </c>
      <c r="H511">
        <v>14</v>
      </c>
    </row>
    <row r="512" spans="6:8" x14ac:dyDescent="0.25">
      <c r="F512">
        <v>511</v>
      </c>
      <c r="G512" t="s">
        <v>555</v>
      </c>
      <c r="H512">
        <v>14</v>
      </c>
    </row>
    <row r="513" spans="6:8" x14ac:dyDescent="0.25">
      <c r="F513">
        <v>512</v>
      </c>
      <c r="G513" t="s">
        <v>556</v>
      </c>
      <c r="H513">
        <v>14</v>
      </c>
    </row>
    <row r="514" spans="6:8" x14ac:dyDescent="0.25">
      <c r="F514">
        <v>513</v>
      </c>
      <c r="G514" t="s">
        <v>557</v>
      </c>
      <c r="H514">
        <v>14</v>
      </c>
    </row>
    <row r="515" spans="6:8" x14ac:dyDescent="0.25">
      <c r="F515">
        <v>514</v>
      </c>
      <c r="G515" t="s">
        <v>558</v>
      </c>
      <c r="H515">
        <v>15</v>
      </c>
    </row>
    <row r="516" spans="6:8" x14ac:dyDescent="0.25">
      <c r="F516">
        <v>515</v>
      </c>
      <c r="G516" t="s">
        <v>559</v>
      </c>
      <c r="H516">
        <v>15</v>
      </c>
    </row>
    <row r="517" spans="6:8" x14ac:dyDescent="0.25">
      <c r="F517">
        <v>516</v>
      </c>
      <c r="G517" t="s">
        <v>560</v>
      </c>
      <c r="H517">
        <v>15</v>
      </c>
    </row>
    <row r="518" spans="6:8" x14ac:dyDescent="0.25">
      <c r="F518">
        <v>517</v>
      </c>
      <c r="G518" t="s">
        <v>561</v>
      </c>
      <c r="H518">
        <v>15</v>
      </c>
    </row>
    <row r="519" spans="6:8" x14ac:dyDescent="0.25">
      <c r="F519">
        <v>518</v>
      </c>
      <c r="G519" t="s">
        <v>562</v>
      </c>
      <c r="H519">
        <v>15</v>
      </c>
    </row>
    <row r="520" spans="6:8" x14ac:dyDescent="0.25">
      <c r="F520">
        <v>519</v>
      </c>
      <c r="G520" t="s">
        <v>563</v>
      </c>
      <c r="H520">
        <v>15</v>
      </c>
    </row>
    <row r="521" spans="6:8" x14ac:dyDescent="0.25">
      <c r="F521">
        <v>520</v>
      </c>
      <c r="G521" t="s">
        <v>564</v>
      </c>
      <c r="H521">
        <v>15</v>
      </c>
    </row>
    <row r="522" spans="6:8" x14ac:dyDescent="0.25">
      <c r="F522">
        <v>521</v>
      </c>
      <c r="G522" t="s">
        <v>565</v>
      </c>
      <c r="H522">
        <v>15</v>
      </c>
    </row>
    <row r="523" spans="6:8" x14ac:dyDescent="0.25">
      <c r="F523">
        <v>522</v>
      </c>
      <c r="G523" t="s">
        <v>566</v>
      </c>
      <c r="H523">
        <v>15</v>
      </c>
    </row>
    <row r="524" spans="6:8" x14ac:dyDescent="0.25">
      <c r="F524">
        <v>523</v>
      </c>
      <c r="G524" t="s">
        <v>567</v>
      </c>
      <c r="H524">
        <v>15</v>
      </c>
    </row>
    <row r="525" spans="6:8" x14ac:dyDescent="0.25">
      <c r="F525">
        <v>524</v>
      </c>
      <c r="G525" t="s">
        <v>568</v>
      </c>
      <c r="H525">
        <v>15</v>
      </c>
    </row>
    <row r="526" spans="6:8" x14ac:dyDescent="0.25">
      <c r="F526">
        <v>525</v>
      </c>
      <c r="G526" t="s">
        <v>569</v>
      </c>
      <c r="H526">
        <v>15</v>
      </c>
    </row>
    <row r="527" spans="6:8" x14ac:dyDescent="0.25">
      <c r="F527">
        <v>526</v>
      </c>
      <c r="G527" t="s">
        <v>570</v>
      </c>
      <c r="H527">
        <v>15</v>
      </c>
    </row>
    <row r="528" spans="6:8" x14ac:dyDescent="0.25">
      <c r="F528">
        <v>527</v>
      </c>
      <c r="G528" t="s">
        <v>571</v>
      </c>
      <c r="H528">
        <v>15</v>
      </c>
    </row>
    <row r="529" spans="6:8" x14ac:dyDescent="0.25">
      <c r="F529">
        <v>528</v>
      </c>
      <c r="G529" t="s">
        <v>572</v>
      </c>
      <c r="H529">
        <v>15</v>
      </c>
    </row>
    <row r="530" spans="6:8" x14ac:dyDescent="0.25">
      <c r="F530">
        <v>529</v>
      </c>
      <c r="G530" t="s">
        <v>573</v>
      </c>
      <c r="H530">
        <v>15</v>
      </c>
    </row>
    <row r="531" spans="6:8" x14ac:dyDescent="0.25">
      <c r="F531">
        <v>530</v>
      </c>
      <c r="G531" t="s">
        <v>574</v>
      </c>
      <c r="H531">
        <v>15</v>
      </c>
    </row>
    <row r="532" spans="6:8" x14ac:dyDescent="0.25">
      <c r="F532">
        <v>531</v>
      </c>
      <c r="G532" t="s">
        <v>575</v>
      </c>
      <c r="H532">
        <v>15</v>
      </c>
    </row>
    <row r="533" spans="6:8" x14ac:dyDescent="0.25">
      <c r="F533">
        <v>532</v>
      </c>
      <c r="G533" t="s">
        <v>576</v>
      </c>
      <c r="H533">
        <v>15</v>
      </c>
    </row>
    <row r="534" spans="6:8" x14ac:dyDescent="0.25">
      <c r="F534">
        <v>533</v>
      </c>
      <c r="G534" t="s">
        <v>577</v>
      </c>
      <c r="H534">
        <v>15</v>
      </c>
    </row>
    <row r="535" spans="6:8" x14ac:dyDescent="0.25">
      <c r="F535">
        <v>534</v>
      </c>
      <c r="G535" t="s">
        <v>578</v>
      </c>
      <c r="H535">
        <v>15</v>
      </c>
    </row>
    <row r="536" spans="6:8" x14ac:dyDescent="0.25">
      <c r="F536">
        <v>535</v>
      </c>
      <c r="G536" t="s">
        <v>579</v>
      </c>
      <c r="H536">
        <v>15</v>
      </c>
    </row>
    <row r="537" spans="6:8" x14ac:dyDescent="0.25">
      <c r="F537">
        <v>536</v>
      </c>
      <c r="G537" t="s">
        <v>580</v>
      </c>
      <c r="H537">
        <v>15</v>
      </c>
    </row>
    <row r="538" spans="6:8" x14ac:dyDescent="0.25">
      <c r="F538">
        <v>537</v>
      </c>
      <c r="G538" t="s">
        <v>581</v>
      </c>
      <c r="H538">
        <v>15</v>
      </c>
    </row>
    <row r="539" spans="6:8" x14ac:dyDescent="0.25">
      <c r="F539">
        <v>538</v>
      </c>
      <c r="G539" t="s">
        <v>253</v>
      </c>
      <c r="H539">
        <v>15</v>
      </c>
    </row>
    <row r="540" spans="6:8" x14ac:dyDescent="0.25">
      <c r="F540">
        <v>539</v>
      </c>
      <c r="G540" t="s">
        <v>582</v>
      </c>
      <c r="H540">
        <v>15</v>
      </c>
    </row>
    <row r="541" spans="6:8" x14ac:dyDescent="0.25">
      <c r="F541">
        <v>540</v>
      </c>
      <c r="G541" t="s">
        <v>583</v>
      </c>
      <c r="H541">
        <v>15</v>
      </c>
    </row>
    <row r="542" spans="6:8" x14ac:dyDescent="0.25">
      <c r="F542">
        <v>541</v>
      </c>
      <c r="G542" t="s">
        <v>584</v>
      </c>
      <c r="H542">
        <v>15</v>
      </c>
    </row>
    <row r="543" spans="6:8" x14ac:dyDescent="0.25">
      <c r="F543">
        <v>542</v>
      </c>
      <c r="G543" t="s">
        <v>585</v>
      </c>
      <c r="H543">
        <v>15</v>
      </c>
    </row>
    <row r="544" spans="6:8" x14ac:dyDescent="0.25">
      <c r="F544">
        <v>543</v>
      </c>
      <c r="G544" t="s">
        <v>586</v>
      </c>
      <c r="H544">
        <v>15</v>
      </c>
    </row>
    <row r="545" spans="6:8" x14ac:dyDescent="0.25">
      <c r="F545">
        <v>544</v>
      </c>
      <c r="G545" t="s">
        <v>587</v>
      </c>
      <c r="H545">
        <v>15</v>
      </c>
    </row>
    <row r="546" spans="6:8" x14ac:dyDescent="0.25">
      <c r="F546">
        <v>545</v>
      </c>
      <c r="G546" t="s">
        <v>588</v>
      </c>
      <c r="H546">
        <v>15</v>
      </c>
    </row>
    <row r="547" spans="6:8" x14ac:dyDescent="0.25">
      <c r="F547">
        <v>546</v>
      </c>
      <c r="G547" t="s">
        <v>589</v>
      </c>
      <c r="H547">
        <v>15</v>
      </c>
    </row>
    <row r="548" spans="6:8" x14ac:dyDescent="0.25">
      <c r="F548">
        <v>547</v>
      </c>
      <c r="G548" t="s">
        <v>590</v>
      </c>
      <c r="H548">
        <v>15</v>
      </c>
    </row>
    <row r="549" spans="6:8" x14ac:dyDescent="0.25">
      <c r="F549">
        <v>548</v>
      </c>
      <c r="G549" t="s">
        <v>591</v>
      </c>
      <c r="H549">
        <v>15</v>
      </c>
    </row>
    <row r="550" spans="6:8" x14ac:dyDescent="0.25">
      <c r="F550">
        <v>549</v>
      </c>
      <c r="G550" t="s">
        <v>592</v>
      </c>
      <c r="H550">
        <v>15</v>
      </c>
    </row>
    <row r="551" spans="6:8" x14ac:dyDescent="0.25">
      <c r="F551">
        <v>550</v>
      </c>
      <c r="G551" t="s">
        <v>593</v>
      </c>
      <c r="H551">
        <v>15</v>
      </c>
    </row>
    <row r="552" spans="6:8" x14ac:dyDescent="0.25">
      <c r="F552">
        <v>551</v>
      </c>
      <c r="G552" t="s">
        <v>145</v>
      </c>
      <c r="H552">
        <v>15</v>
      </c>
    </row>
    <row r="553" spans="6:8" x14ac:dyDescent="0.25">
      <c r="F553">
        <v>552</v>
      </c>
      <c r="G553" t="s">
        <v>594</v>
      </c>
      <c r="H553">
        <v>15</v>
      </c>
    </row>
    <row r="554" spans="6:8" x14ac:dyDescent="0.25">
      <c r="F554">
        <v>553</v>
      </c>
      <c r="G554" t="s">
        <v>595</v>
      </c>
      <c r="H554">
        <v>15</v>
      </c>
    </row>
    <row r="555" spans="6:8" x14ac:dyDescent="0.25">
      <c r="F555">
        <v>554</v>
      </c>
      <c r="G555" t="s">
        <v>596</v>
      </c>
      <c r="H555">
        <v>15</v>
      </c>
    </row>
    <row r="556" spans="6:8" x14ac:dyDescent="0.25">
      <c r="F556">
        <v>555</v>
      </c>
      <c r="G556" t="s">
        <v>597</v>
      </c>
      <c r="H556">
        <v>15</v>
      </c>
    </row>
    <row r="557" spans="6:8" x14ac:dyDescent="0.25">
      <c r="F557">
        <v>556</v>
      </c>
      <c r="G557" t="s">
        <v>598</v>
      </c>
      <c r="H557">
        <v>15</v>
      </c>
    </row>
    <row r="558" spans="6:8" x14ac:dyDescent="0.25">
      <c r="F558">
        <v>557</v>
      </c>
      <c r="G558" t="s">
        <v>599</v>
      </c>
      <c r="H558">
        <v>15</v>
      </c>
    </row>
    <row r="559" spans="6:8" x14ac:dyDescent="0.25">
      <c r="F559">
        <v>558</v>
      </c>
      <c r="G559" t="s">
        <v>600</v>
      </c>
      <c r="H559">
        <v>15</v>
      </c>
    </row>
    <row r="560" spans="6:8" x14ac:dyDescent="0.25">
      <c r="F560">
        <v>559</v>
      </c>
      <c r="G560" t="s">
        <v>601</v>
      </c>
      <c r="H560">
        <v>15</v>
      </c>
    </row>
    <row r="561" spans="6:8" x14ac:dyDescent="0.25">
      <c r="F561">
        <v>560</v>
      </c>
      <c r="G561" t="s">
        <v>602</v>
      </c>
      <c r="H561">
        <v>15</v>
      </c>
    </row>
    <row r="562" spans="6:8" x14ac:dyDescent="0.25">
      <c r="F562">
        <v>561</v>
      </c>
      <c r="G562" t="s">
        <v>603</v>
      </c>
      <c r="H562">
        <v>15</v>
      </c>
    </row>
    <row r="563" spans="6:8" x14ac:dyDescent="0.25">
      <c r="F563">
        <v>562</v>
      </c>
      <c r="G563" t="s">
        <v>604</v>
      </c>
      <c r="H563">
        <v>15</v>
      </c>
    </row>
    <row r="564" spans="6:8" x14ac:dyDescent="0.25">
      <c r="F564">
        <v>563</v>
      </c>
      <c r="G564" t="s">
        <v>605</v>
      </c>
      <c r="H564">
        <v>15</v>
      </c>
    </row>
    <row r="565" spans="6:8" x14ac:dyDescent="0.25">
      <c r="F565">
        <v>564</v>
      </c>
      <c r="G565" t="s">
        <v>606</v>
      </c>
      <c r="H565">
        <v>15</v>
      </c>
    </row>
    <row r="566" spans="6:8" x14ac:dyDescent="0.25">
      <c r="F566">
        <v>565</v>
      </c>
      <c r="G566" t="s">
        <v>607</v>
      </c>
      <c r="H566">
        <v>15</v>
      </c>
    </row>
    <row r="567" spans="6:8" x14ac:dyDescent="0.25">
      <c r="F567">
        <v>566</v>
      </c>
      <c r="G567" t="s">
        <v>459</v>
      </c>
      <c r="H567">
        <v>15</v>
      </c>
    </row>
    <row r="568" spans="6:8" x14ac:dyDescent="0.25">
      <c r="F568">
        <v>567</v>
      </c>
      <c r="G568" t="s">
        <v>608</v>
      </c>
      <c r="H568">
        <v>15</v>
      </c>
    </row>
    <row r="569" spans="6:8" x14ac:dyDescent="0.25">
      <c r="F569">
        <v>568</v>
      </c>
      <c r="G569" t="s">
        <v>609</v>
      </c>
      <c r="H569">
        <v>15</v>
      </c>
    </row>
    <row r="570" spans="6:8" x14ac:dyDescent="0.25">
      <c r="F570">
        <v>569</v>
      </c>
      <c r="G570" t="s">
        <v>610</v>
      </c>
      <c r="H570">
        <v>15</v>
      </c>
    </row>
    <row r="571" spans="6:8" x14ac:dyDescent="0.25">
      <c r="F571">
        <v>570</v>
      </c>
      <c r="G571" t="s">
        <v>611</v>
      </c>
      <c r="H571">
        <v>15</v>
      </c>
    </row>
    <row r="572" spans="6:8" x14ac:dyDescent="0.25">
      <c r="F572">
        <v>571</v>
      </c>
      <c r="G572" t="s">
        <v>612</v>
      </c>
      <c r="H572">
        <v>15</v>
      </c>
    </row>
    <row r="573" spans="6:8" x14ac:dyDescent="0.25">
      <c r="F573">
        <v>572</v>
      </c>
      <c r="G573" t="s">
        <v>613</v>
      </c>
      <c r="H573">
        <v>15</v>
      </c>
    </row>
    <row r="574" spans="6:8" x14ac:dyDescent="0.25">
      <c r="F574">
        <v>573</v>
      </c>
      <c r="G574" t="s">
        <v>72</v>
      </c>
      <c r="H574">
        <v>15</v>
      </c>
    </row>
    <row r="575" spans="6:8" x14ac:dyDescent="0.25">
      <c r="F575">
        <v>574</v>
      </c>
      <c r="G575" t="s">
        <v>614</v>
      </c>
      <c r="H575">
        <v>15</v>
      </c>
    </row>
    <row r="576" spans="6:8" x14ac:dyDescent="0.25">
      <c r="F576">
        <v>575</v>
      </c>
      <c r="G576" t="s">
        <v>615</v>
      </c>
      <c r="H576">
        <v>15</v>
      </c>
    </row>
    <row r="577" spans="6:8" x14ac:dyDescent="0.25">
      <c r="F577">
        <v>576</v>
      </c>
      <c r="G577" t="s">
        <v>616</v>
      </c>
      <c r="H577">
        <v>15</v>
      </c>
    </row>
    <row r="578" spans="6:8" x14ac:dyDescent="0.25">
      <c r="F578">
        <v>577</v>
      </c>
      <c r="G578" t="s">
        <v>617</v>
      </c>
      <c r="H578">
        <v>15</v>
      </c>
    </row>
    <row r="579" spans="6:8" x14ac:dyDescent="0.25">
      <c r="F579">
        <v>578</v>
      </c>
      <c r="G579" t="s">
        <v>618</v>
      </c>
      <c r="H579">
        <v>15</v>
      </c>
    </row>
    <row r="580" spans="6:8" x14ac:dyDescent="0.25">
      <c r="F580">
        <v>579</v>
      </c>
      <c r="G580" t="s">
        <v>619</v>
      </c>
      <c r="H580">
        <v>15</v>
      </c>
    </row>
    <row r="581" spans="6:8" x14ac:dyDescent="0.25">
      <c r="F581">
        <v>580</v>
      </c>
      <c r="G581" t="s">
        <v>620</v>
      </c>
      <c r="H581">
        <v>15</v>
      </c>
    </row>
    <row r="582" spans="6:8" x14ac:dyDescent="0.25">
      <c r="F582">
        <v>581</v>
      </c>
      <c r="G582" t="s">
        <v>621</v>
      </c>
      <c r="H582">
        <v>15</v>
      </c>
    </row>
    <row r="583" spans="6:8" x14ac:dyDescent="0.25">
      <c r="F583">
        <v>582</v>
      </c>
      <c r="G583" t="s">
        <v>622</v>
      </c>
      <c r="H583">
        <v>15</v>
      </c>
    </row>
    <row r="584" spans="6:8" x14ac:dyDescent="0.25">
      <c r="F584">
        <v>583</v>
      </c>
      <c r="G584" t="s">
        <v>623</v>
      </c>
      <c r="H584">
        <v>15</v>
      </c>
    </row>
    <row r="585" spans="6:8" x14ac:dyDescent="0.25">
      <c r="F585">
        <v>584</v>
      </c>
      <c r="G585" t="s">
        <v>624</v>
      </c>
      <c r="H585">
        <v>15</v>
      </c>
    </row>
    <row r="586" spans="6:8" x14ac:dyDescent="0.25">
      <c r="F586">
        <v>585</v>
      </c>
      <c r="G586" t="s">
        <v>625</v>
      </c>
      <c r="H586">
        <v>15</v>
      </c>
    </row>
    <row r="587" spans="6:8" x14ac:dyDescent="0.25">
      <c r="F587">
        <v>586</v>
      </c>
      <c r="G587" t="s">
        <v>626</v>
      </c>
      <c r="H587">
        <v>15</v>
      </c>
    </row>
    <row r="588" spans="6:8" x14ac:dyDescent="0.25">
      <c r="F588">
        <v>587</v>
      </c>
      <c r="G588" t="s">
        <v>627</v>
      </c>
      <c r="H588">
        <v>15</v>
      </c>
    </row>
    <row r="589" spans="6:8" x14ac:dyDescent="0.25">
      <c r="F589">
        <v>588</v>
      </c>
      <c r="G589" t="s">
        <v>628</v>
      </c>
      <c r="H589">
        <v>15</v>
      </c>
    </row>
    <row r="590" spans="6:8" x14ac:dyDescent="0.25">
      <c r="F590">
        <v>589</v>
      </c>
      <c r="G590" t="s">
        <v>629</v>
      </c>
      <c r="H590">
        <v>15</v>
      </c>
    </row>
    <row r="591" spans="6:8" x14ac:dyDescent="0.25">
      <c r="F591">
        <v>590</v>
      </c>
      <c r="G591" t="s">
        <v>630</v>
      </c>
      <c r="H591">
        <v>15</v>
      </c>
    </row>
    <row r="592" spans="6:8" x14ac:dyDescent="0.25">
      <c r="F592">
        <v>591</v>
      </c>
      <c r="G592" t="s">
        <v>631</v>
      </c>
      <c r="H592">
        <v>15</v>
      </c>
    </row>
    <row r="593" spans="6:8" x14ac:dyDescent="0.25">
      <c r="F593">
        <v>592</v>
      </c>
      <c r="G593" t="s">
        <v>180</v>
      </c>
      <c r="H593">
        <v>15</v>
      </c>
    </row>
    <row r="594" spans="6:8" x14ac:dyDescent="0.25">
      <c r="F594">
        <v>593</v>
      </c>
      <c r="G594" t="s">
        <v>632</v>
      </c>
      <c r="H594">
        <v>15</v>
      </c>
    </row>
    <row r="595" spans="6:8" x14ac:dyDescent="0.25">
      <c r="F595">
        <v>594</v>
      </c>
      <c r="G595" t="s">
        <v>633</v>
      </c>
      <c r="H595">
        <v>15</v>
      </c>
    </row>
    <row r="596" spans="6:8" x14ac:dyDescent="0.25">
      <c r="F596">
        <v>595</v>
      </c>
      <c r="G596" t="s">
        <v>634</v>
      </c>
      <c r="H596">
        <v>15</v>
      </c>
    </row>
    <row r="597" spans="6:8" x14ac:dyDescent="0.25">
      <c r="F597">
        <v>596</v>
      </c>
      <c r="G597" t="s">
        <v>635</v>
      </c>
      <c r="H597">
        <v>15</v>
      </c>
    </row>
    <row r="598" spans="6:8" x14ac:dyDescent="0.25">
      <c r="F598">
        <v>597</v>
      </c>
      <c r="G598" t="s">
        <v>636</v>
      </c>
      <c r="H598">
        <v>15</v>
      </c>
    </row>
    <row r="599" spans="6:8" x14ac:dyDescent="0.25">
      <c r="F599">
        <v>598</v>
      </c>
      <c r="G599" t="s">
        <v>637</v>
      </c>
      <c r="H599">
        <v>15</v>
      </c>
    </row>
    <row r="600" spans="6:8" x14ac:dyDescent="0.25">
      <c r="F600">
        <v>599</v>
      </c>
      <c r="G600" t="s">
        <v>638</v>
      </c>
      <c r="H600">
        <v>15</v>
      </c>
    </row>
    <row r="601" spans="6:8" x14ac:dyDescent="0.25">
      <c r="F601">
        <v>600</v>
      </c>
      <c r="G601" t="s">
        <v>639</v>
      </c>
      <c r="H601">
        <v>15</v>
      </c>
    </row>
    <row r="602" spans="6:8" x14ac:dyDescent="0.25">
      <c r="F602">
        <v>601</v>
      </c>
      <c r="G602" t="s">
        <v>640</v>
      </c>
      <c r="H602">
        <v>15</v>
      </c>
    </row>
    <row r="603" spans="6:8" x14ac:dyDescent="0.25">
      <c r="F603">
        <v>602</v>
      </c>
      <c r="G603" t="s">
        <v>641</v>
      </c>
      <c r="H603">
        <v>15</v>
      </c>
    </row>
    <row r="604" spans="6:8" x14ac:dyDescent="0.25">
      <c r="F604">
        <v>603</v>
      </c>
      <c r="G604" t="s">
        <v>642</v>
      </c>
      <c r="H604">
        <v>15</v>
      </c>
    </row>
    <row r="605" spans="6:8" x14ac:dyDescent="0.25">
      <c r="F605">
        <v>604</v>
      </c>
      <c r="G605" t="s">
        <v>643</v>
      </c>
      <c r="H605">
        <v>15</v>
      </c>
    </row>
    <row r="606" spans="6:8" x14ac:dyDescent="0.25">
      <c r="F606">
        <v>605</v>
      </c>
      <c r="G606" t="s">
        <v>644</v>
      </c>
      <c r="H606">
        <v>15</v>
      </c>
    </row>
    <row r="607" spans="6:8" x14ac:dyDescent="0.25">
      <c r="F607">
        <v>606</v>
      </c>
      <c r="G607" t="s">
        <v>645</v>
      </c>
      <c r="H607">
        <v>15</v>
      </c>
    </row>
    <row r="608" spans="6:8" x14ac:dyDescent="0.25">
      <c r="F608">
        <v>607</v>
      </c>
      <c r="G608" t="s">
        <v>646</v>
      </c>
      <c r="H608">
        <v>15</v>
      </c>
    </row>
    <row r="609" spans="6:8" x14ac:dyDescent="0.25">
      <c r="F609">
        <v>608</v>
      </c>
      <c r="G609" t="s">
        <v>647</v>
      </c>
      <c r="H609">
        <v>15</v>
      </c>
    </row>
    <row r="610" spans="6:8" x14ac:dyDescent="0.25">
      <c r="F610">
        <v>609</v>
      </c>
      <c r="G610" t="s">
        <v>648</v>
      </c>
      <c r="H610">
        <v>15</v>
      </c>
    </row>
    <row r="611" spans="6:8" x14ac:dyDescent="0.25">
      <c r="F611">
        <v>610</v>
      </c>
      <c r="G611" t="s">
        <v>649</v>
      </c>
      <c r="H611">
        <v>15</v>
      </c>
    </row>
    <row r="612" spans="6:8" x14ac:dyDescent="0.25">
      <c r="F612">
        <v>611</v>
      </c>
      <c r="G612" t="s">
        <v>650</v>
      </c>
      <c r="H612">
        <v>15</v>
      </c>
    </row>
    <row r="613" spans="6:8" x14ac:dyDescent="0.25">
      <c r="F613">
        <v>612</v>
      </c>
      <c r="G613" t="s">
        <v>651</v>
      </c>
      <c r="H613">
        <v>15</v>
      </c>
    </row>
    <row r="614" spans="6:8" x14ac:dyDescent="0.25">
      <c r="F614">
        <v>613</v>
      </c>
      <c r="G614" t="s">
        <v>652</v>
      </c>
      <c r="H614">
        <v>15</v>
      </c>
    </row>
    <row r="615" spans="6:8" x14ac:dyDescent="0.25">
      <c r="F615">
        <v>614</v>
      </c>
      <c r="G615" t="s">
        <v>653</v>
      </c>
      <c r="H615">
        <v>15</v>
      </c>
    </row>
    <row r="616" spans="6:8" x14ac:dyDescent="0.25">
      <c r="F616">
        <v>615</v>
      </c>
      <c r="G616" t="s">
        <v>654</v>
      </c>
      <c r="H616">
        <v>15</v>
      </c>
    </row>
    <row r="617" spans="6:8" x14ac:dyDescent="0.25">
      <c r="F617">
        <v>616</v>
      </c>
      <c r="G617" t="s">
        <v>655</v>
      </c>
      <c r="H617">
        <v>15</v>
      </c>
    </row>
    <row r="618" spans="6:8" x14ac:dyDescent="0.25">
      <c r="F618">
        <v>617</v>
      </c>
      <c r="G618" t="s">
        <v>656</v>
      </c>
      <c r="H618">
        <v>15</v>
      </c>
    </row>
    <row r="619" spans="6:8" x14ac:dyDescent="0.25">
      <c r="F619">
        <v>618</v>
      </c>
      <c r="G619" t="s">
        <v>657</v>
      </c>
      <c r="H619">
        <v>15</v>
      </c>
    </row>
    <row r="620" spans="6:8" x14ac:dyDescent="0.25">
      <c r="F620">
        <v>619</v>
      </c>
      <c r="G620" t="s">
        <v>658</v>
      </c>
      <c r="H620">
        <v>15</v>
      </c>
    </row>
    <row r="621" spans="6:8" x14ac:dyDescent="0.25">
      <c r="F621">
        <v>620</v>
      </c>
      <c r="G621" t="s">
        <v>205</v>
      </c>
      <c r="H621">
        <v>15</v>
      </c>
    </row>
    <row r="622" spans="6:8" x14ac:dyDescent="0.25">
      <c r="F622">
        <v>621</v>
      </c>
      <c r="G622" t="s">
        <v>659</v>
      </c>
      <c r="H622">
        <v>15</v>
      </c>
    </row>
    <row r="623" spans="6:8" x14ac:dyDescent="0.25">
      <c r="F623">
        <v>622</v>
      </c>
      <c r="G623" t="s">
        <v>660</v>
      </c>
      <c r="H623">
        <v>15</v>
      </c>
    </row>
    <row r="624" spans="6:8" x14ac:dyDescent="0.25">
      <c r="F624">
        <v>623</v>
      </c>
      <c r="G624" t="s">
        <v>661</v>
      </c>
      <c r="H624">
        <v>15</v>
      </c>
    </row>
    <row r="625" spans="6:8" x14ac:dyDescent="0.25">
      <c r="F625">
        <v>624</v>
      </c>
      <c r="G625" t="s">
        <v>662</v>
      </c>
      <c r="H625">
        <v>15</v>
      </c>
    </row>
    <row r="626" spans="6:8" x14ac:dyDescent="0.25">
      <c r="F626">
        <v>625</v>
      </c>
      <c r="G626" t="s">
        <v>663</v>
      </c>
      <c r="H626">
        <v>15</v>
      </c>
    </row>
    <row r="627" spans="6:8" x14ac:dyDescent="0.25">
      <c r="F627">
        <v>626</v>
      </c>
      <c r="G627" t="s">
        <v>664</v>
      </c>
      <c r="H627">
        <v>15</v>
      </c>
    </row>
    <row r="628" spans="6:8" x14ac:dyDescent="0.25">
      <c r="F628">
        <v>627</v>
      </c>
      <c r="G628" t="s">
        <v>665</v>
      </c>
      <c r="H628">
        <v>15</v>
      </c>
    </row>
    <row r="629" spans="6:8" x14ac:dyDescent="0.25">
      <c r="F629">
        <v>628</v>
      </c>
      <c r="G629" t="s">
        <v>666</v>
      </c>
      <c r="H629">
        <v>15</v>
      </c>
    </row>
    <row r="630" spans="6:8" x14ac:dyDescent="0.25">
      <c r="F630">
        <v>629</v>
      </c>
      <c r="G630" t="s">
        <v>667</v>
      </c>
      <c r="H630">
        <v>15</v>
      </c>
    </row>
    <row r="631" spans="6:8" x14ac:dyDescent="0.25">
      <c r="F631">
        <v>630</v>
      </c>
      <c r="G631" t="s">
        <v>668</v>
      </c>
      <c r="H631">
        <v>16</v>
      </c>
    </row>
    <row r="632" spans="6:8" x14ac:dyDescent="0.25">
      <c r="F632">
        <v>631</v>
      </c>
      <c r="G632" t="s">
        <v>42</v>
      </c>
      <c r="H632">
        <v>16</v>
      </c>
    </row>
    <row r="633" spans="6:8" x14ac:dyDescent="0.25">
      <c r="F633">
        <v>632</v>
      </c>
      <c r="G633" t="s">
        <v>669</v>
      </c>
      <c r="H633">
        <v>16</v>
      </c>
    </row>
    <row r="634" spans="6:8" x14ac:dyDescent="0.25">
      <c r="F634">
        <v>633</v>
      </c>
      <c r="G634" t="s">
        <v>670</v>
      </c>
      <c r="H634">
        <v>16</v>
      </c>
    </row>
    <row r="635" spans="6:8" x14ac:dyDescent="0.25">
      <c r="F635">
        <v>634</v>
      </c>
      <c r="G635" t="s">
        <v>671</v>
      </c>
      <c r="H635">
        <v>16</v>
      </c>
    </row>
    <row r="636" spans="6:8" x14ac:dyDescent="0.25">
      <c r="F636">
        <v>635</v>
      </c>
      <c r="G636" t="s">
        <v>672</v>
      </c>
      <c r="H636">
        <v>16</v>
      </c>
    </row>
    <row r="637" spans="6:8" x14ac:dyDescent="0.25">
      <c r="F637">
        <v>636</v>
      </c>
      <c r="G637" t="s">
        <v>673</v>
      </c>
      <c r="H637">
        <v>16</v>
      </c>
    </row>
    <row r="638" spans="6:8" x14ac:dyDescent="0.25">
      <c r="F638">
        <v>637</v>
      </c>
      <c r="G638" t="s">
        <v>231</v>
      </c>
      <c r="H638">
        <v>16</v>
      </c>
    </row>
    <row r="639" spans="6:8" x14ac:dyDescent="0.25">
      <c r="F639">
        <v>638</v>
      </c>
      <c r="G639" t="s">
        <v>674</v>
      </c>
      <c r="H639">
        <v>16</v>
      </c>
    </row>
    <row r="640" spans="6:8" x14ac:dyDescent="0.25">
      <c r="F640">
        <v>639</v>
      </c>
      <c r="G640" t="s">
        <v>675</v>
      </c>
      <c r="H640">
        <v>17</v>
      </c>
    </row>
    <row r="641" spans="6:8" x14ac:dyDescent="0.25">
      <c r="F641">
        <v>640</v>
      </c>
      <c r="G641" t="s">
        <v>247</v>
      </c>
      <c r="H641">
        <v>17</v>
      </c>
    </row>
    <row r="642" spans="6:8" x14ac:dyDescent="0.25">
      <c r="F642">
        <v>641</v>
      </c>
      <c r="G642" t="s">
        <v>676</v>
      </c>
      <c r="H642">
        <v>17</v>
      </c>
    </row>
    <row r="643" spans="6:8" x14ac:dyDescent="0.25">
      <c r="F643">
        <v>642</v>
      </c>
      <c r="G643" t="s">
        <v>330</v>
      </c>
      <c r="H643">
        <v>17</v>
      </c>
    </row>
    <row r="644" spans="6:8" x14ac:dyDescent="0.25">
      <c r="F644">
        <v>643</v>
      </c>
      <c r="G644" t="s">
        <v>677</v>
      </c>
      <c r="H644">
        <v>18</v>
      </c>
    </row>
    <row r="645" spans="6:8" x14ac:dyDescent="0.25">
      <c r="F645">
        <v>644</v>
      </c>
      <c r="G645" t="s">
        <v>678</v>
      </c>
      <c r="H645">
        <v>18</v>
      </c>
    </row>
    <row r="646" spans="6:8" x14ac:dyDescent="0.25">
      <c r="F646">
        <v>645</v>
      </c>
      <c r="G646" t="s">
        <v>679</v>
      </c>
      <c r="H646">
        <v>18</v>
      </c>
    </row>
    <row r="647" spans="6:8" x14ac:dyDescent="0.25">
      <c r="F647">
        <v>646</v>
      </c>
      <c r="G647" t="s">
        <v>680</v>
      </c>
      <c r="H647">
        <v>18</v>
      </c>
    </row>
    <row r="648" spans="6:8" x14ac:dyDescent="0.25">
      <c r="F648">
        <v>647</v>
      </c>
      <c r="G648" t="s">
        <v>681</v>
      </c>
      <c r="H648">
        <v>18</v>
      </c>
    </row>
    <row r="649" spans="6:8" x14ac:dyDescent="0.25">
      <c r="F649">
        <v>648</v>
      </c>
      <c r="G649" t="s">
        <v>682</v>
      </c>
      <c r="H649">
        <v>18</v>
      </c>
    </row>
    <row r="650" spans="6:8" x14ac:dyDescent="0.25">
      <c r="F650">
        <v>649</v>
      </c>
      <c r="G650" t="s">
        <v>683</v>
      </c>
      <c r="H650">
        <v>18</v>
      </c>
    </row>
    <row r="651" spans="6:8" x14ac:dyDescent="0.25">
      <c r="F651">
        <v>650</v>
      </c>
      <c r="G651" t="s">
        <v>684</v>
      </c>
      <c r="H651">
        <v>18</v>
      </c>
    </row>
    <row r="652" spans="6:8" x14ac:dyDescent="0.25">
      <c r="F652">
        <v>651</v>
      </c>
      <c r="G652" t="s">
        <v>679</v>
      </c>
      <c r="H652">
        <v>18</v>
      </c>
    </row>
    <row r="653" spans="6:8" x14ac:dyDescent="0.25">
      <c r="F653">
        <v>652</v>
      </c>
      <c r="G653" t="s">
        <v>146</v>
      </c>
      <c r="H653">
        <v>18</v>
      </c>
    </row>
    <row r="654" spans="6:8" x14ac:dyDescent="0.25">
      <c r="F654">
        <v>653</v>
      </c>
      <c r="G654" t="s">
        <v>685</v>
      </c>
      <c r="H654">
        <v>18</v>
      </c>
    </row>
    <row r="655" spans="6:8" x14ac:dyDescent="0.25">
      <c r="F655">
        <v>654</v>
      </c>
      <c r="G655" t="s">
        <v>686</v>
      </c>
      <c r="H655">
        <v>18</v>
      </c>
    </row>
    <row r="656" spans="6:8" x14ac:dyDescent="0.25">
      <c r="F656">
        <v>655</v>
      </c>
      <c r="G656" t="s">
        <v>687</v>
      </c>
      <c r="H656">
        <v>18</v>
      </c>
    </row>
    <row r="657" spans="6:8" x14ac:dyDescent="0.25">
      <c r="F657">
        <v>656</v>
      </c>
      <c r="G657" t="s">
        <v>688</v>
      </c>
      <c r="H657">
        <v>18</v>
      </c>
    </row>
    <row r="658" spans="6:8" x14ac:dyDescent="0.25">
      <c r="F658">
        <v>657</v>
      </c>
      <c r="G658" t="s">
        <v>689</v>
      </c>
      <c r="H658">
        <v>18</v>
      </c>
    </row>
    <row r="659" spans="6:8" x14ac:dyDescent="0.25">
      <c r="F659">
        <v>658</v>
      </c>
      <c r="G659" t="s">
        <v>690</v>
      </c>
      <c r="H659">
        <v>18</v>
      </c>
    </row>
    <row r="660" spans="6:8" x14ac:dyDescent="0.25">
      <c r="F660">
        <v>659</v>
      </c>
      <c r="G660" t="s">
        <v>691</v>
      </c>
      <c r="H660">
        <v>18</v>
      </c>
    </row>
    <row r="661" spans="6:8" x14ac:dyDescent="0.25">
      <c r="F661">
        <v>660</v>
      </c>
      <c r="G661" t="s">
        <v>692</v>
      </c>
      <c r="H661">
        <v>18</v>
      </c>
    </row>
    <row r="662" spans="6:8" x14ac:dyDescent="0.25">
      <c r="F662">
        <v>661</v>
      </c>
      <c r="G662" t="s">
        <v>693</v>
      </c>
      <c r="H662">
        <v>18</v>
      </c>
    </row>
    <row r="663" spans="6:8" x14ac:dyDescent="0.25">
      <c r="F663">
        <v>662</v>
      </c>
      <c r="G663" t="s">
        <v>694</v>
      </c>
      <c r="H663">
        <v>18</v>
      </c>
    </row>
    <row r="664" spans="6:8" x14ac:dyDescent="0.25">
      <c r="F664">
        <v>663</v>
      </c>
      <c r="G664" t="s">
        <v>695</v>
      </c>
      <c r="H664">
        <v>18</v>
      </c>
    </row>
    <row r="665" spans="6:8" x14ac:dyDescent="0.25">
      <c r="F665">
        <v>664</v>
      </c>
      <c r="G665" t="s">
        <v>412</v>
      </c>
      <c r="H665">
        <v>18</v>
      </c>
    </row>
    <row r="666" spans="6:8" x14ac:dyDescent="0.25">
      <c r="F666">
        <v>665</v>
      </c>
      <c r="G666" t="s">
        <v>696</v>
      </c>
      <c r="H666">
        <v>18</v>
      </c>
    </row>
    <row r="667" spans="6:8" x14ac:dyDescent="0.25">
      <c r="F667">
        <v>666</v>
      </c>
      <c r="G667" t="s">
        <v>697</v>
      </c>
      <c r="H667">
        <v>18</v>
      </c>
    </row>
    <row r="668" spans="6:8" x14ac:dyDescent="0.25">
      <c r="F668">
        <v>667</v>
      </c>
      <c r="G668" t="s">
        <v>698</v>
      </c>
      <c r="H668">
        <v>18</v>
      </c>
    </row>
    <row r="669" spans="6:8" x14ac:dyDescent="0.25">
      <c r="F669">
        <v>668</v>
      </c>
      <c r="G669" t="s">
        <v>699</v>
      </c>
      <c r="H669">
        <v>18</v>
      </c>
    </row>
    <row r="670" spans="6:8" x14ac:dyDescent="0.25">
      <c r="F670">
        <v>669</v>
      </c>
      <c r="G670" t="s">
        <v>700</v>
      </c>
      <c r="H670">
        <v>18</v>
      </c>
    </row>
    <row r="671" spans="6:8" x14ac:dyDescent="0.25">
      <c r="F671">
        <v>670</v>
      </c>
      <c r="G671" t="s">
        <v>365</v>
      </c>
      <c r="H671">
        <v>18</v>
      </c>
    </row>
    <row r="672" spans="6:8" x14ac:dyDescent="0.25">
      <c r="F672">
        <v>671</v>
      </c>
      <c r="G672" t="s">
        <v>701</v>
      </c>
      <c r="H672">
        <v>18</v>
      </c>
    </row>
    <row r="673" spans="6:8" x14ac:dyDescent="0.25">
      <c r="F673">
        <v>672</v>
      </c>
      <c r="G673" t="s">
        <v>702</v>
      </c>
      <c r="H673">
        <v>18</v>
      </c>
    </row>
    <row r="674" spans="6:8" x14ac:dyDescent="0.25">
      <c r="F674">
        <v>673</v>
      </c>
      <c r="G674" t="s">
        <v>703</v>
      </c>
      <c r="H674">
        <v>18</v>
      </c>
    </row>
    <row r="675" spans="6:8" x14ac:dyDescent="0.25">
      <c r="F675">
        <v>674</v>
      </c>
      <c r="G675" t="s">
        <v>704</v>
      </c>
      <c r="H675">
        <v>18</v>
      </c>
    </row>
    <row r="676" spans="6:8" x14ac:dyDescent="0.25">
      <c r="F676">
        <v>675</v>
      </c>
      <c r="G676" t="s">
        <v>705</v>
      </c>
      <c r="H676">
        <v>18</v>
      </c>
    </row>
    <row r="677" spans="6:8" x14ac:dyDescent="0.25">
      <c r="F677">
        <v>676</v>
      </c>
      <c r="G677" t="s">
        <v>706</v>
      </c>
      <c r="H677">
        <v>18</v>
      </c>
    </row>
    <row r="678" spans="6:8" x14ac:dyDescent="0.25">
      <c r="F678">
        <v>677</v>
      </c>
      <c r="G678" t="s">
        <v>707</v>
      </c>
      <c r="H678">
        <v>18</v>
      </c>
    </row>
    <row r="679" spans="6:8" x14ac:dyDescent="0.25">
      <c r="F679">
        <v>678</v>
      </c>
      <c r="G679" t="s">
        <v>708</v>
      </c>
      <c r="H679">
        <v>18</v>
      </c>
    </row>
    <row r="680" spans="6:8" x14ac:dyDescent="0.25">
      <c r="F680">
        <v>679</v>
      </c>
      <c r="G680" t="s">
        <v>709</v>
      </c>
      <c r="H680">
        <v>19</v>
      </c>
    </row>
    <row r="681" spans="6:8" x14ac:dyDescent="0.25">
      <c r="F681">
        <v>680</v>
      </c>
      <c r="G681" t="s">
        <v>40</v>
      </c>
      <c r="H681">
        <v>19</v>
      </c>
    </row>
    <row r="682" spans="6:8" x14ac:dyDescent="0.25">
      <c r="F682">
        <v>681</v>
      </c>
      <c r="G682" t="s">
        <v>710</v>
      </c>
      <c r="H682">
        <v>19</v>
      </c>
    </row>
    <row r="683" spans="6:8" x14ac:dyDescent="0.25">
      <c r="F683">
        <v>682</v>
      </c>
      <c r="G683" t="s">
        <v>711</v>
      </c>
      <c r="H683">
        <v>19</v>
      </c>
    </row>
    <row r="684" spans="6:8" x14ac:dyDescent="0.25">
      <c r="F684">
        <v>683</v>
      </c>
      <c r="G684" t="s">
        <v>712</v>
      </c>
      <c r="H684">
        <v>19</v>
      </c>
    </row>
    <row r="685" spans="6:8" x14ac:dyDescent="0.25">
      <c r="F685">
        <v>684</v>
      </c>
      <c r="G685" t="s">
        <v>713</v>
      </c>
      <c r="H685">
        <v>19</v>
      </c>
    </row>
    <row r="686" spans="6:8" x14ac:dyDescent="0.25">
      <c r="F686">
        <v>685</v>
      </c>
      <c r="G686" t="s">
        <v>714</v>
      </c>
      <c r="H686">
        <v>19</v>
      </c>
    </row>
    <row r="687" spans="6:8" x14ac:dyDescent="0.25">
      <c r="F687">
        <v>686</v>
      </c>
      <c r="G687" t="s">
        <v>715</v>
      </c>
      <c r="H687">
        <v>19</v>
      </c>
    </row>
    <row r="688" spans="6:8" x14ac:dyDescent="0.25">
      <c r="F688">
        <v>687</v>
      </c>
      <c r="G688" t="s">
        <v>716</v>
      </c>
      <c r="H688">
        <v>19</v>
      </c>
    </row>
    <row r="689" spans="6:8" x14ac:dyDescent="0.25">
      <c r="F689">
        <v>688</v>
      </c>
      <c r="G689" t="s">
        <v>717</v>
      </c>
      <c r="H689">
        <v>19</v>
      </c>
    </row>
    <row r="690" spans="6:8" x14ac:dyDescent="0.25">
      <c r="F690">
        <v>689</v>
      </c>
      <c r="G690" t="s">
        <v>718</v>
      </c>
      <c r="H690">
        <v>19</v>
      </c>
    </row>
    <row r="691" spans="6:8" x14ac:dyDescent="0.25">
      <c r="F691">
        <v>690</v>
      </c>
      <c r="G691" t="s">
        <v>719</v>
      </c>
      <c r="H691">
        <v>19</v>
      </c>
    </row>
    <row r="692" spans="6:8" x14ac:dyDescent="0.25">
      <c r="F692">
        <v>691</v>
      </c>
      <c r="G692" t="s">
        <v>720</v>
      </c>
      <c r="H692">
        <v>19</v>
      </c>
    </row>
    <row r="693" spans="6:8" x14ac:dyDescent="0.25">
      <c r="F693">
        <v>692</v>
      </c>
      <c r="G693" t="s">
        <v>503</v>
      </c>
      <c r="H693">
        <v>19</v>
      </c>
    </row>
    <row r="694" spans="6:8" x14ac:dyDescent="0.25">
      <c r="F694">
        <v>693</v>
      </c>
      <c r="G694" t="s">
        <v>281</v>
      </c>
      <c r="H694">
        <v>19</v>
      </c>
    </row>
    <row r="695" spans="6:8" x14ac:dyDescent="0.25">
      <c r="F695">
        <v>694</v>
      </c>
      <c r="G695" t="s">
        <v>721</v>
      </c>
      <c r="H695">
        <v>20</v>
      </c>
    </row>
    <row r="696" spans="6:8" x14ac:dyDescent="0.25">
      <c r="F696">
        <v>695</v>
      </c>
      <c r="G696" t="s">
        <v>722</v>
      </c>
      <c r="H696">
        <v>20</v>
      </c>
    </row>
    <row r="697" spans="6:8" x14ac:dyDescent="0.25">
      <c r="F697">
        <v>696</v>
      </c>
      <c r="G697" t="s">
        <v>723</v>
      </c>
      <c r="H697">
        <v>20</v>
      </c>
    </row>
    <row r="698" spans="6:8" x14ac:dyDescent="0.25">
      <c r="F698">
        <v>697</v>
      </c>
      <c r="G698" t="s">
        <v>724</v>
      </c>
      <c r="H698">
        <v>20</v>
      </c>
    </row>
    <row r="699" spans="6:8" x14ac:dyDescent="0.25">
      <c r="F699">
        <v>698</v>
      </c>
      <c r="G699" t="s">
        <v>725</v>
      </c>
      <c r="H699">
        <v>20</v>
      </c>
    </row>
    <row r="700" spans="6:8" x14ac:dyDescent="0.25">
      <c r="F700">
        <v>699</v>
      </c>
      <c r="G700" t="s">
        <v>726</v>
      </c>
      <c r="H700">
        <v>20</v>
      </c>
    </row>
    <row r="701" spans="6:8" x14ac:dyDescent="0.25">
      <c r="F701">
        <v>700</v>
      </c>
      <c r="G701" t="s">
        <v>727</v>
      </c>
      <c r="H701">
        <v>20</v>
      </c>
    </row>
    <row r="702" spans="6:8" x14ac:dyDescent="0.25">
      <c r="F702">
        <v>701</v>
      </c>
      <c r="G702" t="s">
        <v>129</v>
      </c>
      <c r="H702">
        <v>20</v>
      </c>
    </row>
    <row r="703" spans="6:8" x14ac:dyDescent="0.25">
      <c r="F703">
        <v>702</v>
      </c>
      <c r="G703" t="s">
        <v>728</v>
      </c>
      <c r="H703">
        <v>20</v>
      </c>
    </row>
    <row r="704" spans="6:8" x14ac:dyDescent="0.25">
      <c r="F704">
        <v>703</v>
      </c>
      <c r="G704" t="s">
        <v>729</v>
      </c>
      <c r="H704">
        <v>20</v>
      </c>
    </row>
    <row r="705" spans="6:8" x14ac:dyDescent="0.25">
      <c r="F705">
        <v>704</v>
      </c>
      <c r="G705" t="s">
        <v>730</v>
      </c>
      <c r="H705">
        <v>20</v>
      </c>
    </row>
    <row r="706" spans="6:8" x14ac:dyDescent="0.25">
      <c r="F706">
        <v>705</v>
      </c>
      <c r="G706" t="s">
        <v>731</v>
      </c>
      <c r="H706">
        <v>20</v>
      </c>
    </row>
    <row r="707" spans="6:8" x14ac:dyDescent="0.25">
      <c r="F707">
        <v>706</v>
      </c>
      <c r="G707" t="s">
        <v>732</v>
      </c>
      <c r="H707">
        <v>20</v>
      </c>
    </row>
    <row r="708" spans="6:8" x14ac:dyDescent="0.25">
      <c r="F708">
        <v>707</v>
      </c>
      <c r="G708" t="s">
        <v>733</v>
      </c>
      <c r="H708">
        <v>20</v>
      </c>
    </row>
    <row r="709" spans="6:8" x14ac:dyDescent="0.25">
      <c r="F709">
        <v>708</v>
      </c>
      <c r="G709" t="s">
        <v>734</v>
      </c>
      <c r="H709">
        <v>20</v>
      </c>
    </row>
    <row r="710" spans="6:8" x14ac:dyDescent="0.25">
      <c r="F710">
        <v>709</v>
      </c>
      <c r="G710" t="s">
        <v>735</v>
      </c>
      <c r="H710">
        <v>20</v>
      </c>
    </row>
    <row r="711" spans="6:8" x14ac:dyDescent="0.25">
      <c r="F711">
        <v>710</v>
      </c>
      <c r="G711" t="s">
        <v>736</v>
      </c>
      <c r="H711">
        <v>20</v>
      </c>
    </row>
    <row r="712" spans="6:8" x14ac:dyDescent="0.25">
      <c r="F712">
        <v>711</v>
      </c>
      <c r="G712" t="s">
        <v>737</v>
      </c>
      <c r="H712">
        <v>20</v>
      </c>
    </row>
    <row r="713" spans="6:8" x14ac:dyDescent="0.25">
      <c r="F713">
        <v>712</v>
      </c>
      <c r="G713" t="s">
        <v>738</v>
      </c>
      <c r="H713">
        <v>20</v>
      </c>
    </row>
    <row r="714" spans="6:8" x14ac:dyDescent="0.25">
      <c r="F714">
        <v>713</v>
      </c>
      <c r="G714" t="s">
        <v>739</v>
      </c>
      <c r="H714">
        <v>20</v>
      </c>
    </row>
    <row r="715" spans="6:8" x14ac:dyDescent="0.25">
      <c r="F715">
        <v>714</v>
      </c>
      <c r="G715" t="s">
        <v>740</v>
      </c>
      <c r="H715">
        <v>20</v>
      </c>
    </row>
    <row r="716" spans="6:8" x14ac:dyDescent="0.25">
      <c r="F716">
        <v>715</v>
      </c>
      <c r="G716" t="s">
        <v>415</v>
      </c>
      <c r="H716">
        <v>20</v>
      </c>
    </row>
    <row r="717" spans="6:8" x14ac:dyDescent="0.25">
      <c r="F717">
        <v>716</v>
      </c>
      <c r="G717" t="s">
        <v>741</v>
      </c>
      <c r="H717">
        <v>20</v>
      </c>
    </row>
    <row r="718" spans="6:8" x14ac:dyDescent="0.25">
      <c r="F718">
        <v>717</v>
      </c>
      <c r="G718" t="s">
        <v>742</v>
      </c>
      <c r="H718">
        <v>20</v>
      </c>
    </row>
    <row r="719" spans="6:8" x14ac:dyDescent="0.25">
      <c r="F719">
        <v>718</v>
      </c>
      <c r="G719" t="s">
        <v>743</v>
      </c>
      <c r="H719">
        <v>20</v>
      </c>
    </row>
    <row r="720" spans="6:8" x14ac:dyDescent="0.25">
      <c r="F720">
        <v>719</v>
      </c>
      <c r="G720" t="s">
        <v>744</v>
      </c>
      <c r="H720">
        <v>20</v>
      </c>
    </row>
    <row r="721" spans="6:8" x14ac:dyDescent="0.25">
      <c r="F721">
        <v>720</v>
      </c>
      <c r="G721" t="s">
        <v>745</v>
      </c>
      <c r="H721">
        <v>20</v>
      </c>
    </row>
    <row r="722" spans="6:8" x14ac:dyDescent="0.25">
      <c r="F722">
        <v>721</v>
      </c>
      <c r="G722" t="s">
        <v>746</v>
      </c>
      <c r="H722">
        <v>20</v>
      </c>
    </row>
    <row r="723" spans="6:8" x14ac:dyDescent="0.25">
      <c r="F723">
        <v>722</v>
      </c>
      <c r="G723" t="s">
        <v>747</v>
      </c>
      <c r="H723">
        <v>20</v>
      </c>
    </row>
    <row r="724" spans="6:8" x14ac:dyDescent="0.25">
      <c r="F724">
        <v>723</v>
      </c>
      <c r="G724" t="s">
        <v>748</v>
      </c>
      <c r="H724">
        <v>21</v>
      </c>
    </row>
    <row r="725" spans="6:8" x14ac:dyDescent="0.25">
      <c r="F725">
        <v>724</v>
      </c>
      <c r="G725" t="s">
        <v>749</v>
      </c>
      <c r="H725">
        <v>21</v>
      </c>
    </row>
    <row r="726" spans="6:8" x14ac:dyDescent="0.25">
      <c r="F726">
        <v>725</v>
      </c>
      <c r="G726" t="s">
        <v>750</v>
      </c>
      <c r="H726">
        <v>21</v>
      </c>
    </row>
    <row r="727" spans="6:8" x14ac:dyDescent="0.25">
      <c r="F727">
        <v>726</v>
      </c>
      <c r="G727" t="s">
        <v>751</v>
      </c>
      <c r="H727">
        <v>21</v>
      </c>
    </row>
    <row r="728" spans="6:8" x14ac:dyDescent="0.25">
      <c r="F728">
        <v>727</v>
      </c>
      <c r="G728" t="s">
        <v>752</v>
      </c>
      <c r="H728">
        <v>21</v>
      </c>
    </row>
    <row r="729" spans="6:8" x14ac:dyDescent="0.25">
      <c r="F729">
        <v>728</v>
      </c>
      <c r="G729" t="s">
        <v>753</v>
      </c>
      <c r="H729">
        <v>21</v>
      </c>
    </row>
    <row r="730" spans="6:8" x14ac:dyDescent="0.25">
      <c r="F730">
        <v>729</v>
      </c>
      <c r="G730" t="s">
        <v>754</v>
      </c>
      <c r="H730">
        <v>21</v>
      </c>
    </row>
    <row r="731" spans="6:8" x14ac:dyDescent="0.25">
      <c r="F731">
        <v>730</v>
      </c>
      <c r="G731" t="s">
        <v>755</v>
      </c>
      <c r="H731">
        <v>21</v>
      </c>
    </row>
    <row r="732" spans="6:8" x14ac:dyDescent="0.25">
      <c r="F732">
        <v>731</v>
      </c>
      <c r="G732" t="s">
        <v>756</v>
      </c>
      <c r="H732">
        <v>21</v>
      </c>
    </row>
    <row r="733" spans="6:8" x14ac:dyDescent="0.25">
      <c r="F733">
        <v>732</v>
      </c>
      <c r="G733" t="s">
        <v>757</v>
      </c>
      <c r="H733">
        <v>21</v>
      </c>
    </row>
    <row r="734" spans="6:8" x14ac:dyDescent="0.25">
      <c r="F734">
        <v>733</v>
      </c>
      <c r="G734" t="s">
        <v>758</v>
      </c>
      <c r="H734">
        <v>21</v>
      </c>
    </row>
    <row r="735" spans="6:8" x14ac:dyDescent="0.25">
      <c r="F735">
        <v>734</v>
      </c>
      <c r="G735" t="s">
        <v>145</v>
      </c>
      <c r="H735">
        <v>21</v>
      </c>
    </row>
    <row r="736" spans="6:8" x14ac:dyDescent="0.25">
      <c r="F736">
        <v>735</v>
      </c>
      <c r="G736" t="s">
        <v>732</v>
      </c>
      <c r="H736">
        <v>21</v>
      </c>
    </row>
    <row r="737" spans="6:8" x14ac:dyDescent="0.25">
      <c r="F737">
        <v>736</v>
      </c>
      <c r="G737" t="s">
        <v>671</v>
      </c>
      <c r="H737">
        <v>21</v>
      </c>
    </row>
    <row r="738" spans="6:8" x14ac:dyDescent="0.25">
      <c r="F738">
        <v>737</v>
      </c>
      <c r="G738" t="s">
        <v>759</v>
      </c>
      <c r="H738">
        <v>21</v>
      </c>
    </row>
    <row r="739" spans="6:8" x14ac:dyDescent="0.25">
      <c r="F739">
        <v>738</v>
      </c>
      <c r="G739" t="s">
        <v>760</v>
      </c>
      <c r="H739">
        <v>21</v>
      </c>
    </row>
    <row r="740" spans="6:8" x14ac:dyDescent="0.25">
      <c r="F740">
        <v>739</v>
      </c>
      <c r="G740" t="s">
        <v>761</v>
      </c>
      <c r="H740">
        <v>21</v>
      </c>
    </row>
    <row r="741" spans="6:8" x14ac:dyDescent="0.25">
      <c r="F741">
        <v>740</v>
      </c>
      <c r="G741" t="s">
        <v>762</v>
      </c>
      <c r="H741">
        <v>21</v>
      </c>
    </row>
    <row r="742" spans="6:8" x14ac:dyDescent="0.25">
      <c r="F742">
        <v>741</v>
      </c>
      <c r="G742" t="s">
        <v>763</v>
      </c>
      <c r="H742">
        <v>21</v>
      </c>
    </row>
    <row r="743" spans="6:8" x14ac:dyDescent="0.25">
      <c r="F743">
        <v>742</v>
      </c>
      <c r="G743" t="s">
        <v>764</v>
      </c>
      <c r="H743">
        <v>21</v>
      </c>
    </row>
    <row r="744" spans="6:8" x14ac:dyDescent="0.25">
      <c r="F744">
        <v>743</v>
      </c>
      <c r="G744" t="s">
        <v>765</v>
      </c>
      <c r="H744">
        <v>21</v>
      </c>
    </row>
    <row r="745" spans="6:8" x14ac:dyDescent="0.25">
      <c r="F745">
        <v>744</v>
      </c>
      <c r="G745" t="s">
        <v>766</v>
      </c>
      <c r="H745">
        <v>21</v>
      </c>
    </row>
    <row r="746" spans="6:8" x14ac:dyDescent="0.25">
      <c r="F746">
        <v>745</v>
      </c>
      <c r="G746" t="s">
        <v>429</v>
      </c>
      <c r="H746">
        <v>21</v>
      </c>
    </row>
    <row r="747" spans="6:8" x14ac:dyDescent="0.25">
      <c r="F747">
        <v>746</v>
      </c>
      <c r="G747" t="s">
        <v>767</v>
      </c>
      <c r="H747">
        <v>21</v>
      </c>
    </row>
    <row r="748" spans="6:8" x14ac:dyDescent="0.25">
      <c r="F748">
        <v>747</v>
      </c>
      <c r="G748" t="s">
        <v>768</v>
      </c>
      <c r="H748">
        <v>21</v>
      </c>
    </row>
    <row r="749" spans="6:8" x14ac:dyDescent="0.25">
      <c r="F749">
        <v>748</v>
      </c>
      <c r="G749" t="s">
        <v>769</v>
      </c>
      <c r="H749">
        <v>21</v>
      </c>
    </row>
    <row r="750" spans="6:8" x14ac:dyDescent="0.25">
      <c r="F750">
        <v>749</v>
      </c>
      <c r="G750" t="s">
        <v>770</v>
      </c>
      <c r="H750">
        <v>21</v>
      </c>
    </row>
    <row r="751" spans="6:8" x14ac:dyDescent="0.25">
      <c r="F751">
        <v>750</v>
      </c>
      <c r="G751" t="s">
        <v>500</v>
      </c>
      <c r="H751">
        <v>21</v>
      </c>
    </row>
    <row r="752" spans="6:8" x14ac:dyDescent="0.25">
      <c r="F752">
        <v>751</v>
      </c>
      <c r="G752" t="s">
        <v>771</v>
      </c>
      <c r="H752">
        <v>21</v>
      </c>
    </row>
    <row r="753" spans="6:8" x14ac:dyDescent="0.25">
      <c r="F753">
        <v>752</v>
      </c>
      <c r="G753" t="s">
        <v>772</v>
      </c>
      <c r="H753">
        <v>22</v>
      </c>
    </row>
    <row r="754" spans="6:8" x14ac:dyDescent="0.25">
      <c r="F754">
        <v>753</v>
      </c>
      <c r="G754" t="s">
        <v>773</v>
      </c>
      <c r="H754">
        <v>22</v>
      </c>
    </row>
    <row r="755" spans="6:8" x14ac:dyDescent="0.25">
      <c r="F755">
        <v>754</v>
      </c>
      <c r="G755" t="s">
        <v>774</v>
      </c>
      <c r="H755">
        <v>22</v>
      </c>
    </row>
    <row r="756" spans="6:8" x14ac:dyDescent="0.25">
      <c r="F756">
        <v>755</v>
      </c>
      <c r="G756" t="s">
        <v>775</v>
      </c>
      <c r="H756">
        <v>22</v>
      </c>
    </row>
    <row r="757" spans="6:8" x14ac:dyDescent="0.25">
      <c r="F757">
        <v>756</v>
      </c>
      <c r="G757" t="s">
        <v>776</v>
      </c>
      <c r="H757">
        <v>22</v>
      </c>
    </row>
    <row r="758" spans="6:8" x14ac:dyDescent="0.25">
      <c r="F758">
        <v>757</v>
      </c>
      <c r="G758" t="s">
        <v>777</v>
      </c>
      <c r="H758">
        <v>22</v>
      </c>
    </row>
    <row r="759" spans="6:8" x14ac:dyDescent="0.25">
      <c r="F759">
        <v>758</v>
      </c>
      <c r="G759" t="s">
        <v>287</v>
      </c>
      <c r="H759">
        <v>22</v>
      </c>
    </row>
    <row r="760" spans="6:8" x14ac:dyDescent="0.25">
      <c r="F760">
        <v>759</v>
      </c>
      <c r="G760" t="s">
        <v>776</v>
      </c>
      <c r="H760">
        <v>22</v>
      </c>
    </row>
    <row r="761" spans="6:8" x14ac:dyDescent="0.25">
      <c r="F761">
        <v>760</v>
      </c>
      <c r="G761" t="s">
        <v>778</v>
      </c>
      <c r="H761">
        <v>22</v>
      </c>
    </row>
    <row r="762" spans="6:8" x14ac:dyDescent="0.25">
      <c r="F762">
        <v>761</v>
      </c>
      <c r="G762" t="s">
        <v>779</v>
      </c>
      <c r="H762">
        <v>22</v>
      </c>
    </row>
    <row r="763" spans="6:8" x14ac:dyDescent="0.25">
      <c r="F763">
        <v>762</v>
      </c>
      <c r="G763" t="s">
        <v>780</v>
      </c>
      <c r="H763">
        <v>22</v>
      </c>
    </row>
    <row r="764" spans="6:8" x14ac:dyDescent="0.25">
      <c r="F764">
        <v>763</v>
      </c>
      <c r="G764" t="s">
        <v>781</v>
      </c>
      <c r="H764">
        <v>22</v>
      </c>
    </row>
    <row r="765" spans="6:8" x14ac:dyDescent="0.25">
      <c r="F765">
        <v>764</v>
      </c>
      <c r="G765" t="s">
        <v>782</v>
      </c>
      <c r="H765">
        <v>22</v>
      </c>
    </row>
    <row r="766" spans="6:8" x14ac:dyDescent="0.25">
      <c r="F766">
        <v>765</v>
      </c>
      <c r="G766" t="s">
        <v>64</v>
      </c>
      <c r="H766">
        <v>22</v>
      </c>
    </row>
    <row r="767" spans="6:8" x14ac:dyDescent="0.25">
      <c r="F767">
        <v>766</v>
      </c>
      <c r="G767" t="s">
        <v>783</v>
      </c>
      <c r="H767">
        <v>22</v>
      </c>
    </row>
    <row r="768" spans="6:8" x14ac:dyDescent="0.25">
      <c r="F768">
        <v>767</v>
      </c>
      <c r="G768" t="s">
        <v>784</v>
      </c>
      <c r="H768">
        <v>22</v>
      </c>
    </row>
    <row r="769" spans="6:8" x14ac:dyDescent="0.25">
      <c r="F769">
        <v>768</v>
      </c>
      <c r="G769" t="s">
        <v>785</v>
      </c>
      <c r="H769">
        <v>22</v>
      </c>
    </row>
    <row r="770" spans="6:8" x14ac:dyDescent="0.25">
      <c r="F770">
        <v>769</v>
      </c>
      <c r="G770" t="s">
        <v>786</v>
      </c>
      <c r="H770">
        <v>22</v>
      </c>
    </row>
    <row r="771" spans="6:8" x14ac:dyDescent="0.25">
      <c r="F771">
        <v>770</v>
      </c>
      <c r="G771" t="s">
        <v>136</v>
      </c>
      <c r="H771">
        <v>22</v>
      </c>
    </row>
    <row r="772" spans="6:8" x14ac:dyDescent="0.25">
      <c r="F772">
        <v>771</v>
      </c>
      <c r="G772" t="s">
        <v>787</v>
      </c>
      <c r="H772">
        <v>22</v>
      </c>
    </row>
    <row r="773" spans="6:8" x14ac:dyDescent="0.25">
      <c r="F773">
        <v>772</v>
      </c>
      <c r="G773" t="s">
        <v>788</v>
      </c>
      <c r="H773">
        <v>22</v>
      </c>
    </row>
    <row r="774" spans="6:8" x14ac:dyDescent="0.25">
      <c r="F774">
        <v>773</v>
      </c>
      <c r="G774" t="s">
        <v>453</v>
      </c>
      <c r="H774">
        <v>22</v>
      </c>
    </row>
    <row r="775" spans="6:8" x14ac:dyDescent="0.25">
      <c r="F775">
        <v>774</v>
      </c>
      <c r="G775" t="s">
        <v>789</v>
      </c>
      <c r="H775">
        <v>22</v>
      </c>
    </row>
    <row r="776" spans="6:8" x14ac:dyDescent="0.25">
      <c r="F776">
        <v>775</v>
      </c>
      <c r="G776" t="s">
        <v>790</v>
      </c>
      <c r="H776">
        <v>22</v>
      </c>
    </row>
    <row r="777" spans="6:8" x14ac:dyDescent="0.25">
      <c r="F777">
        <v>776</v>
      </c>
      <c r="G777" t="s">
        <v>791</v>
      </c>
      <c r="H777">
        <v>22</v>
      </c>
    </row>
    <row r="778" spans="6:8" x14ac:dyDescent="0.25">
      <c r="F778">
        <v>777</v>
      </c>
      <c r="G778" t="s">
        <v>792</v>
      </c>
      <c r="H778">
        <v>22</v>
      </c>
    </row>
    <row r="779" spans="6:8" x14ac:dyDescent="0.25">
      <c r="F779">
        <v>778</v>
      </c>
      <c r="G779" t="s">
        <v>793</v>
      </c>
      <c r="H779">
        <v>22</v>
      </c>
    </row>
    <row r="780" spans="6:8" x14ac:dyDescent="0.25">
      <c r="F780">
        <v>779</v>
      </c>
      <c r="G780" t="s">
        <v>794</v>
      </c>
      <c r="H780">
        <v>22</v>
      </c>
    </row>
    <row r="781" spans="6:8" x14ac:dyDescent="0.25">
      <c r="F781">
        <v>780</v>
      </c>
      <c r="G781" t="s">
        <v>795</v>
      </c>
      <c r="H781">
        <v>22</v>
      </c>
    </row>
    <row r="782" spans="6:8" x14ac:dyDescent="0.25">
      <c r="F782">
        <v>781</v>
      </c>
      <c r="G782" t="s">
        <v>796</v>
      </c>
      <c r="H782">
        <v>22</v>
      </c>
    </row>
    <row r="783" spans="6:8" x14ac:dyDescent="0.25">
      <c r="F783">
        <v>782</v>
      </c>
      <c r="G783" t="s">
        <v>797</v>
      </c>
      <c r="H783">
        <v>22</v>
      </c>
    </row>
    <row r="784" spans="6:8" x14ac:dyDescent="0.25">
      <c r="F784">
        <v>783</v>
      </c>
      <c r="G784" t="s">
        <v>798</v>
      </c>
      <c r="H784">
        <v>22</v>
      </c>
    </row>
    <row r="785" spans="6:8" x14ac:dyDescent="0.25">
      <c r="F785">
        <v>784</v>
      </c>
      <c r="G785" t="s">
        <v>799</v>
      </c>
      <c r="H785">
        <v>22</v>
      </c>
    </row>
    <row r="786" spans="6:8" x14ac:dyDescent="0.25">
      <c r="F786">
        <v>785</v>
      </c>
      <c r="G786" t="s">
        <v>158</v>
      </c>
      <c r="H786">
        <v>22</v>
      </c>
    </row>
    <row r="787" spans="6:8" x14ac:dyDescent="0.25">
      <c r="F787">
        <v>786</v>
      </c>
      <c r="G787" t="s">
        <v>800</v>
      </c>
      <c r="H787">
        <v>22</v>
      </c>
    </row>
    <row r="788" spans="6:8" x14ac:dyDescent="0.25">
      <c r="F788">
        <v>787</v>
      </c>
      <c r="G788" t="s">
        <v>801</v>
      </c>
      <c r="H788">
        <v>22</v>
      </c>
    </row>
    <row r="789" spans="6:8" x14ac:dyDescent="0.25">
      <c r="F789">
        <v>788</v>
      </c>
      <c r="G789" t="s">
        <v>802</v>
      </c>
      <c r="H789">
        <v>22</v>
      </c>
    </row>
    <row r="790" spans="6:8" x14ac:dyDescent="0.25">
      <c r="F790">
        <v>789</v>
      </c>
      <c r="G790" t="s">
        <v>803</v>
      </c>
      <c r="H790">
        <v>22</v>
      </c>
    </row>
    <row r="791" spans="6:8" x14ac:dyDescent="0.25">
      <c r="F791">
        <v>790</v>
      </c>
      <c r="G791" t="s">
        <v>804</v>
      </c>
      <c r="H791">
        <v>22</v>
      </c>
    </row>
    <row r="792" spans="6:8" x14ac:dyDescent="0.25">
      <c r="F792">
        <v>791</v>
      </c>
      <c r="G792" t="s">
        <v>613</v>
      </c>
      <c r="H792">
        <v>22</v>
      </c>
    </row>
    <row r="793" spans="6:8" x14ac:dyDescent="0.25">
      <c r="F793">
        <v>792</v>
      </c>
      <c r="G793" t="s">
        <v>72</v>
      </c>
      <c r="H793">
        <v>22</v>
      </c>
    </row>
    <row r="794" spans="6:8" x14ac:dyDescent="0.25">
      <c r="F794">
        <v>793</v>
      </c>
      <c r="G794" t="s">
        <v>167</v>
      </c>
      <c r="H794">
        <v>22</v>
      </c>
    </row>
    <row r="795" spans="6:8" x14ac:dyDescent="0.25">
      <c r="F795">
        <v>794</v>
      </c>
      <c r="G795" t="s">
        <v>805</v>
      </c>
      <c r="H795">
        <v>22</v>
      </c>
    </row>
    <row r="796" spans="6:8" x14ac:dyDescent="0.25">
      <c r="F796">
        <v>795</v>
      </c>
      <c r="G796" t="s">
        <v>806</v>
      </c>
      <c r="H796">
        <v>22</v>
      </c>
    </row>
    <row r="797" spans="6:8" x14ac:dyDescent="0.25">
      <c r="F797">
        <v>796</v>
      </c>
      <c r="G797" t="s">
        <v>807</v>
      </c>
      <c r="H797">
        <v>22</v>
      </c>
    </row>
    <row r="798" spans="6:8" x14ac:dyDescent="0.25">
      <c r="F798">
        <v>797</v>
      </c>
      <c r="G798" t="s">
        <v>808</v>
      </c>
      <c r="H798">
        <v>22</v>
      </c>
    </row>
    <row r="799" spans="6:8" x14ac:dyDescent="0.25">
      <c r="F799">
        <v>798</v>
      </c>
      <c r="G799" t="s">
        <v>809</v>
      </c>
      <c r="H799">
        <v>22</v>
      </c>
    </row>
    <row r="800" spans="6:8" x14ac:dyDescent="0.25">
      <c r="F800">
        <v>799</v>
      </c>
      <c r="G800" t="s">
        <v>810</v>
      </c>
      <c r="H800">
        <v>22</v>
      </c>
    </row>
    <row r="801" spans="6:8" x14ac:dyDescent="0.25">
      <c r="F801">
        <v>800</v>
      </c>
      <c r="G801" t="s">
        <v>628</v>
      </c>
      <c r="H801">
        <v>22</v>
      </c>
    </row>
    <row r="802" spans="6:8" x14ac:dyDescent="0.25">
      <c r="F802">
        <v>801</v>
      </c>
      <c r="G802" t="s">
        <v>811</v>
      </c>
      <c r="H802">
        <v>22</v>
      </c>
    </row>
    <row r="803" spans="6:8" x14ac:dyDescent="0.25">
      <c r="F803">
        <v>802</v>
      </c>
      <c r="G803" t="s">
        <v>812</v>
      </c>
      <c r="H803">
        <v>22</v>
      </c>
    </row>
    <row r="804" spans="6:8" x14ac:dyDescent="0.25">
      <c r="F804">
        <v>803</v>
      </c>
      <c r="G804" t="s">
        <v>813</v>
      </c>
      <c r="H804">
        <v>22</v>
      </c>
    </row>
    <row r="805" spans="6:8" x14ac:dyDescent="0.25">
      <c r="F805">
        <v>804</v>
      </c>
      <c r="G805" t="s">
        <v>630</v>
      </c>
      <c r="H805">
        <v>22</v>
      </c>
    </row>
    <row r="806" spans="6:8" x14ac:dyDescent="0.25">
      <c r="F806">
        <v>805</v>
      </c>
      <c r="G806" t="s">
        <v>814</v>
      </c>
      <c r="H806">
        <v>22</v>
      </c>
    </row>
    <row r="807" spans="6:8" x14ac:dyDescent="0.25">
      <c r="F807">
        <v>806</v>
      </c>
      <c r="G807" t="s">
        <v>272</v>
      </c>
      <c r="H807">
        <v>22</v>
      </c>
    </row>
    <row r="808" spans="6:8" x14ac:dyDescent="0.25">
      <c r="F808">
        <v>807</v>
      </c>
      <c r="G808" t="s">
        <v>815</v>
      </c>
      <c r="H808">
        <v>22</v>
      </c>
    </row>
    <row r="809" spans="6:8" x14ac:dyDescent="0.25">
      <c r="F809">
        <v>808</v>
      </c>
      <c r="G809" t="s">
        <v>43</v>
      </c>
      <c r="H809">
        <v>22</v>
      </c>
    </row>
    <row r="810" spans="6:8" x14ac:dyDescent="0.25">
      <c r="F810">
        <v>809</v>
      </c>
      <c r="G810" t="s">
        <v>816</v>
      </c>
      <c r="H810">
        <v>22</v>
      </c>
    </row>
    <row r="811" spans="6:8" x14ac:dyDescent="0.25">
      <c r="F811">
        <v>810</v>
      </c>
      <c r="G811" t="s">
        <v>817</v>
      </c>
      <c r="H811">
        <v>22</v>
      </c>
    </row>
    <row r="812" spans="6:8" x14ac:dyDescent="0.25">
      <c r="F812">
        <v>811</v>
      </c>
      <c r="G812" t="s">
        <v>818</v>
      </c>
      <c r="H812">
        <v>22</v>
      </c>
    </row>
    <row r="813" spans="6:8" x14ac:dyDescent="0.25">
      <c r="F813">
        <v>812</v>
      </c>
      <c r="G813" t="s">
        <v>819</v>
      </c>
      <c r="H813">
        <v>22</v>
      </c>
    </row>
    <row r="814" spans="6:8" x14ac:dyDescent="0.25">
      <c r="F814">
        <v>813</v>
      </c>
      <c r="G814" t="s">
        <v>820</v>
      </c>
      <c r="H814">
        <v>22</v>
      </c>
    </row>
    <row r="815" spans="6:8" x14ac:dyDescent="0.25">
      <c r="F815">
        <v>814</v>
      </c>
      <c r="G815" t="s">
        <v>821</v>
      </c>
      <c r="H815">
        <v>22</v>
      </c>
    </row>
    <row r="816" spans="6:8" x14ac:dyDescent="0.25">
      <c r="F816">
        <v>815</v>
      </c>
      <c r="G816" t="s">
        <v>822</v>
      </c>
      <c r="H816">
        <v>22</v>
      </c>
    </row>
    <row r="817" spans="6:8" x14ac:dyDescent="0.25">
      <c r="F817">
        <v>816</v>
      </c>
      <c r="G817" t="s">
        <v>823</v>
      </c>
      <c r="H817">
        <v>23</v>
      </c>
    </row>
    <row r="818" spans="6:8" x14ac:dyDescent="0.25">
      <c r="F818">
        <v>817</v>
      </c>
      <c r="G818" t="s">
        <v>824</v>
      </c>
      <c r="H818">
        <v>23</v>
      </c>
    </row>
    <row r="819" spans="6:8" x14ac:dyDescent="0.25">
      <c r="F819">
        <v>818</v>
      </c>
      <c r="G819" t="s">
        <v>825</v>
      </c>
      <c r="H819">
        <v>23</v>
      </c>
    </row>
    <row r="820" spans="6:8" x14ac:dyDescent="0.25">
      <c r="F820">
        <v>819</v>
      </c>
      <c r="G820" t="s">
        <v>826</v>
      </c>
      <c r="H820">
        <v>23</v>
      </c>
    </row>
    <row r="821" spans="6:8" x14ac:dyDescent="0.25">
      <c r="F821">
        <v>820</v>
      </c>
      <c r="G821" t="s">
        <v>827</v>
      </c>
      <c r="H821">
        <v>23</v>
      </c>
    </row>
    <row r="822" spans="6:8" x14ac:dyDescent="0.25">
      <c r="F822">
        <v>821</v>
      </c>
      <c r="G822" t="s">
        <v>828</v>
      </c>
      <c r="H822">
        <v>23</v>
      </c>
    </row>
    <row r="823" spans="6:8" x14ac:dyDescent="0.25">
      <c r="F823">
        <v>822</v>
      </c>
      <c r="G823" t="s">
        <v>829</v>
      </c>
      <c r="H823">
        <v>23</v>
      </c>
    </row>
    <row r="824" spans="6:8" x14ac:dyDescent="0.25">
      <c r="F824">
        <v>823</v>
      </c>
      <c r="G824" t="s">
        <v>830</v>
      </c>
      <c r="H824">
        <v>23</v>
      </c>
    </row>
    <row r="825" spans="6:8" x14ac:dyDescent="0.25">
      <c r="F825">
        <v>824</v>
      </c>
      <c r="G825" t="s">
        <v>831</v>
      </c>
      <c r="H825">
        <v>23</v>
      </c>
    </row>
    <row r="826" spans="6:8" x14ac:dyDescent="0.25">
      <c r="F826">
        <v>825</v>
      </c>
      <c r="G826" t="s">
        <v>832</v>
      </c>
      <c r="H826">
        <v>23</v>
      </c>
    </row>
    <row r="827" spans="6:8" x14ac:dyDescent="0.25">
      <c r="F827">
        <v>826</v>
      </c>
      <c r="G827" t="s">
        <v>65</v>
      </c>
      <c r="H827">
        <v>23</v>
      </c>
    </row>
    <row r="828" spans="6:8" x14ac:dyDescent="0.25">
      <c r="F828">
        <v>827</v>
      </c>
      <c r="G828" t="s">
        <v>833</v>
      </c>
      <c r="H828">
        <v>23</v>
      </c>
    </row>
    <row r="829" spans="6:8" x14ac:dyDescent="0.25">
      <c r="F829">
        <v>828</v>
      </c>
      <c r="G829" t="s">
        <v>834</v>
      </c>
      <c r="H829">
        <v>23</v>
      </c>
    </row>
    <row r="830" spans="6:8" x14ac:dyDescent="0.25">
      <c r="F830">
        <v>829</v>
      </c>
      <c r="G830" t="s">
        <v>835</v>
      </c>
      <c r="H830">
        <v>23</v>
      </c>
    </row>
    <row r="831" spans="6:8" x14ac:dyDescent="0.25">
      <c r="F831">
        <v>830</v>
      </c>
      <c r="G831" t="s">
        <v>836</v>
      </c>
      <c r="H831">
        <v>23</v>
      </c>
    </row>
    <row r="832" spans="6:8" x14ac:dyDescent="0.25">
      <c r="F832">
        <v>831</v>
      </c>
      <c r="G832" t="s">
        <v>837</v>
      </c>
      <c r="H832">
        <v>23</v>
      </c>
    </row>
    <row r="833" spans="6:8" x14ac:dyDescent="0.25">
      <c r="F833">
        <v>832</v>
      </c>
      <c r="G833" t="s">
        <v>838</v>
      </c>
      <c r="H833">
        <v>23</v>
      </c>
    </row>
    <row r="834" spans="6:8" x14ac:dyDescent="0.25">
      <c r="F834">
        <v>833</v>
      </c>
      <c r="G834" t="s">
        <v>839</v>
      </c>
      <c r="H834">
        <v>23</v>
      </c>
    </row>
    <row r="835" spans="6:8" x14ac:dyDescent="0.25">
      <c r="F835">
        <v>834</v>
      </c>
      <c r="G835" t="s">
        <v>840</v>
      </c>
      <c r="H835">
        <v>23</v>
      </c>
    </row>
    <row r="836" spans="6:8" x14ac:dyDescent="0.25">
      <c r="F836">
        <v>835</v>
      </c>
      <c r="G836" t="s">
        <v>841</v>
      </c>
      <c r="H836">
        <v>23</v>
      </c>
    </row>
    <row r="837" spans="6:8" x14ac:dyDescent="0.25">
      <c r="F837">
        <v>836</v>
      </c>
      <c r="G837" t="s">
        <v>842</v>
      </c>
      <c r="H837">
        <v>23</v>
      </c>
    </row>
    <row r="838" spans="6:8" x14ac:dyDescent="0.25">
      <c r="F838">
        <v>837</v>
      </c>
      <c r="G838" t="s">
        <v>843</v>
      </c>
      <c r="H838">
        <v>23</v>
      </c>
    </row>
    <row r="839" spans="6:8" x14ac:dyDescent="0.25">
      <c r="F839">
        <v>838</v>
      </c>
      <c r="G839" t="s">
        <v>844</v>
      </c>
      <c r="H839">
        <v>23</v>
      </c>
    </row>
    <row r="840" spans="6:8" x14ac:dyDescent="0.25">
      <c r="F840">
        <v>839</v>
      </c>
      <c r="G840" t="s">
        <v>845</v>
      </c>
      <c r="H840">
        <v>23</v>
      </c>
    </row>
    <row r="841" spans="6:8" x14ac:dyDescent="0.25">
      <c r="F841">
        <v>840</v>
      </c>
      <c r="G841" t="s">
        <v>846</v>
      </c>
      <c r="H841">
        <v>23</v>
      </c>
    </row>
    <row r="842" spans="6:8" x14ac:dyDescent="0.25">
      <c r="F842">
        <v>841</v>
      </c>
      <c r="G842" t="s">
        <v>847</v>
      </c>
      <c r="H842">
        <v>23</v>
      </c>
    </row>
    <row r="843" spans="6:8" x14ac:dyDescent="0.25">
      <c r="F843">
        <v>842</v>
      </c>
      <c r="G843" t="s">
        <v>848</v>
      </c>
      <c r="H843">
        <v>23</v>
      </c>
    </row>
    <row r="844" spans="6:8" x14ac:dyDescent="0.25">
      <c r="F844">
        <v>843</v>
      </c>
      <c r="G844" t="s">
        <v>44</v>
      </c>
      <c r="H844">
        <v>23</v>
      </c>
    </row>
    <row r="845" spans="6:8" x14ac:dyDescent="0.25">
      <c r="F845">
        <v>844</v>
      </c>
      <c r="G845" t="s">
        <v>849</v>
      </c>
      <c r="H845">
        <v>23</v>
      </c>
    </row>
    <row r="846" spans="6:8" x14ac:dyDescent="0.25">
      <c r="F846">
        <v>845</v>
      </c>
      <c r="G846" t="s">
        <v>850</v>
      </c>
      <c r="H846">
        <v>23</v>
      </c>
    </row>
    <row r="847" spans="6:8" x14ac:dyDescent="0.25">
      <c r="F847">
        <v>846</v>
      </c>
      <c r="G847" t="s">
        <v>851</v>
      </c>
      <c r="H847">
        <v>23</v>
      </c>
    </row>
    <row r="848" spans="6:8" x14ac:dyDescent="0.25">
      <c r="F848">
        <v>847</v>
      </c>
      <c r="G848" t="s">
        <v>631</v>
      </c>
      <c r="H848">
        <v>23</v>
      </c>
    </row>
    <row r="849" spans="6:8" x14ac:dyDescent="0.25">
      <c r="F849">
        <v>848</v>
      </c>
      <c r="G849" t="s">
        <v>852</v>
      </c>
      <c r="H849">
        <v>23</v>
      </c>
    </row>
    <row r="850" spans="6:8" x14ac:dyDescent="0.25">
      <c r="F850">
        <v>849</v>
      </c>
      <c r="G850" t="s">
        <v>853</v>
      </c>
      <c r="H850">
        <v>23</v>
      </c>
    </row>
    <row r="851" spans="6:8" x14ac:dyDescent="0.25">
      <c r="F851">
        <v>850</v>
      </c>
      <c r="G851" t="s">
        <v>854</v>
      </c>
      <c r="H851">
        <v>23</v>
      </c>
    </row>
    <row r="852" spans="6:8" x14ac:dyDescent="0.25">
      <c r="F852">
        <v>851</v>
      </c>
      <c r="G852" t="s">
        <v>502</v>
      </c>
      <c r="H852">
        <v>23</v>
      </c>
    </row>
    <row r="853" spans="6:8" x14ac:dyDescent="0.25">
      <c r="F853">
        <v>852</v>
      </c>
      <c r="G853" t="s">
        <v>198</v>
      </c>
      <c r="H853">
        <v>23</v>
      </c>
    </row>
    <row r="854" spans="6:8" x14ac:dyDescent="0.25">
      <c r="F854">
        <v>853</v>
      </c>
      <c r="G854" t="s">
        <v>855</v>
      </c>
      <c r="H854">
        <v>23</v>
      </c>
    </row>
    <row r="855" spans="6:8" x14ac:dyDescent="0.25">
      <c r="F855">
        <v>854</v>
      </c>
      <c r="G855" t="s">
        <v>856</v>
      </c>
      <c r="H855">
        <v>23</v>
      </c>
    </row>
    <row r="856" spans="6:8" x14ac:dyDescent="0.25">
      <c r="F856">
        <v>855</v>
      </c>
      <c r="G856" t="s">
        <v>857</v>
      </c>
      <c r="H856">
        <v>24</v>
      </c>
    </row>
    <row r="857" spans="6:8" x14ac:dyDescent="0.25">
      <c r="F857">
        <v>856</v>
      </c>
      <c r="G857" t="s">
        <v>780</v>
      </c>
      <c r="H857">
        <v>24</v>
      </c>
    </row>
    <row r="858" spans="6:8" x14ac:dyDescent="0.25">
      <c r="F858">
        <v>857</v>
      </c>
      <c r="G858" t="s">
        <v>858</v>
      </c>
      <c r="H858">
        <v>24</v>
      </c>
    </row>
    <row r="859" spans="6:8" x14ac:dyDescent="0.25">
      <c r="F859">
        <v>858</v>
      </c>
      <c r="G859" t="s">
        <v>859</v>
      </c>
      <c r="H859">
        <v>24</v>
      </c>
    </row>
    <row r="860" spans="6:8" x14ac:dyDescent="0.25">
      <c r="F860">
        <v>859</v>
      </c>
      <c r="G860" t="s">
        <v>860</v>
      </c>
      <c r="H860">
        <v>24</v>
      </c>
    </row>
    <row r="861" spans="6:8" x14ac:dyDescent="0.25">
      <c r="F861">
        <v>860</v>
      </c>
      <c r="G861" t="s">
        <v>861</v>
      </c>
      <c r="H861">
        <v>24</v>
      </c>
    </row>
    <row r="862" spans="6:8" x14ac:dyDescent="0.25">
      <c r="F862">
        <v>861</v>
      </c>
      <c r="G862" t="s">
        <v>862</v>
      </c>
      <c r="H862">
        <v>24</v>
      </c>
    </row>
    <row r="863" spans="6:8" x14ac:dyDescent="0.25">
      <c r="F863">
        <v>862</v>
      </c>
      <c r="G863" t="s">
        <v>863</v>
      </c>
      <c r="H863">
        <v>24</v>
      </c>
    </row>
    <row r="864" spans="6:8" x14ac:dyDescent="0.25">
      <c r="F864">
        <v>863</v>
      </c>
      <c r="G864" t="s">
        <v>180</v>
      </c>
      <c r="H864">
        <v>24</v>
      </c>
    </row>
    <row r="865" spans="6:8" x14ac:dyDescent="0.25">
      <c r="F865">
        <v>864</v>
      </c>
      <c r="G865" t="s">
        <v>864</v>
      </c>
      <c r="H865">
        <v>24</v>
      </c>
    </row>
    <row r="866" spans="6:8" x14ac:dyDescent="0.25">
      <c r="F866">
        <v>865</v>
      </c>
      <c r="G866" t="s">
        <v>865</v>
      </c>
      <c r="H866">
        <v>24</v>
      </c>
    </row>
    <row r="867" spans="6:8" x14ac:dyDescent="0.25">
      <c r="F867">
        <v>866</v>
      </c>
      <c r="G867" t="s">
        <v>866</v>
      </c>
      <c r="H867">
        <v>24</v>
      </c>
    </row>
    <row r="868" spans="6:8" x14ac:dyDescent="0.25">
      <c r="F868">
        <v>867</v>
      </c>
      <c r="G868" t="s">
        <v>12</v>
      </c>
      <c r="H868">
        <v>25</v>
      </c>
    </row>
    <row r="869" spans="6:8" x14ac:dyDescent="0.25">
      <c r="F869">
        <v>868</v>
      </c>
      <c r="G869" t="s">
        <v>291</v>
      </c>
      <c r="H869">
        <v>25</v>
      </c>
    </row>
    <row r="870" spans="6:8" x14ac:dyDescent="0.25">
      <c r="F870">
        <v>869</v>
      </c>
      <c r="G870" t="s">
        <v>867</v>
      </c>
      <c r="H870">
        <v>25</v>
      </c>
    </row>
    <row r="871" spans="6:8" x14ac:dyDescent="0.25">
      <c r="F871">
        <v>870</v>
      </c>
      <c r="G871" t="s">
        <v>868</v>
      </c>
      <c r="H871">
        <v>25</v>
      </c>
    </row>
    <row r="872" spans="6:8" x14ac:dyDescent="0.25">
      <c r="F872">
        <v>871</v>
      </c>
      <c r="G872" t="s">
        <v>64</v>
      </c>
      <c r="H872">
        <v>25</v>
      </c>
    </row>
    <row r="873" spans="6:8" x14ac:dyDescent="0.25">
      <c r="F873">
        <v>872</v>
      </c>
      <c r="G873" t="s">
        <v>869</v>
      </c>
      <c r="H873">
        <v>25</v>
      </c>
    </row>
    <row r="874" spans="6:8" x14ac:dyDescent="0.25">
      <c r="F874">
        <v>873</v>
      </c>
      <c r="G874" t="s">
        <v>870</v>
      </c>
      <c r="H874">
        <v>25</v>
      </c>
    </row>
    <row r="875" spans="6:8" x14ac:dyDescent="0.25">
      <c r="F875">
        <v>874</v>
      </c>
      <c r="G875" t="s">
        <v>871</v>
      </c>
      <c r="H875">
        <v>25</v>
      </c>
    </row>
    <row r="876" spans="6:8" x14ac:dyDescent="0.25">
      <c r="F876">
        <v>875</v>
      </c>
      <c r="G876" t="s">
        <v>872</v>
      </c>
      <c r="H876">
        <v>25</v>
      </c>
    </row>
    <row r="877" spans="6:8" x14ac:dyDescent="0.25">
      <c r="F877">
        <v>876</v>
      </c>
      <c r="G877" t="s">
        <v>873</v>
      </c>
      <c r="H877">
        <v>25</v>
      </c>
    </row>
    <row r="878" spans="6:8" x14ac:dyDescent="0.25">
      <c r="F878">
        <v>877</v>
      </c>
      <c r="G878" t="s">
        <v>874</v>
      </c>
      <c r="H878">
        <v>25</v>
      </c>
    </row>
    <row r="879" spans="6:8" x14ac:dyDescent="0.25">
      <c r="F879">
        <v>878</v>
      </c>
      <c r="G879" t="s">
        <v>875</v>
      </c>
      <c r="H879">
        <v>25</v>
      </c>
    </row>
    <row r="880" spans="6:8" x14ac:dyDescent="0.25">
      <c r="F880">
        <v>879</v>
      </c>
      <c r="G880" t="s">
        <v>14</v>
      </c>
      <c r="H880">
        <v>26</v>
      </c>
    </row>
    <row r="881" spans="6:8" x14ac:dyDescent="0.25">
      <c r="F881">
        <v>880</v>
      </c>
      <c r="G881" t="s">
        <v>876</v>
      </c>
      <c r="H881">
        <v>26</v>
      </c>
    </row>
    <row r="882" spans="6:8" x14ac:dyDescent="0.25">
      <c r="F882">
        <v>881</v>
      </c>
      <c r="G882" t="s">
        <v>447</v>
      </c>
      <c r="H882">
        <v>26</v>
      </c>
    </row>
    <row r="883" spans="6:8" x14ac:dyDescent="0.25">
      <c r="F883">
        <v>882</v>
      </c>
      <c r="G883" t="s">
        <v>877</v>
      </c>
      <c r="H883">
        <v>26</v>
      </c>
    </row>
    <row r="884" spans="6:8" x14ac:dyDescent="0.25">
      <c r="F884">
        <v>883</v>
      </c>
      <c r="G884" t="s">
        <v>22</v>
      </c>
      <c r="H884">
        <v>26</v>
      </c>
    </row>
    <row r="885" spans="6:8" x14ac:dyDescent="0.25">
      <c r="F885">
        <v>884</v>
      </c>
      <c r="G885" t="s">
        <v>878</v>
      </c>
      <c r="H885">
        <v>26</v>
      </c>
    </row>
    <row r="886" spans="6:8" x14ac:dyDescent="0.25">
      <c r="F886">
        <v>885</v>
      </c>
      <c r="G886" t="s">
        <v>879</v>
      </c>
      <c r="H886">
        <v>26</v>
      </c>
    </row>
    <row r="887" spans="6:8" x14ac:dyDescent="0.25">
      <c r="F887">
        <v>886</v>
      </c>
      <c r="G887" t="s">
        <v>880</v>
      </c>
      <c r="H887">
        <v>26</v>
      </c>
    </row>
    <row r="888" spans="6:8" x14ac:dyDescent="0.25">
      <c r="F888">
        <v>887</v>
      </c>
      <c r="G888" t="s">
        <v>881</v>
      </c>
      <c r="H888">
        <v>26</v>
      </c>
    </row>
    <row r="889" spans="6:8" x14ac:dyDescent="0.25">
      <c r="F889">
        <v>888</v>
      </c>
      <c r="G889" t="s">
        <v>882</v>
      </c>
      <c r="H889">
        <v>26</v>
      </c>
    </row>
    <row r="890" spans="6:8" x14ac:dyDescent="0.25">
      <c r="F890">
        <v>889</v>
      </c>
      <c r="G890" t="s">
        <v>883</v>
      </c>
      <c r="H890">
        <v>26</v>
      </c>
    </row>
    <row r="891" spans="6:8" x14ac:dyDescent="0.25">
      <c r="F891">
        <v>890</v>
      </c>
      <c r="G891" t="s">
        <v>884</v>
      </c>
      <c r="H891">
        <v>26</v>
      </c>
    </row>
    <row r="892" spans="6:8" x14ac:dyDescent="0.25">
      <c r="F892">
        <v>891</v>
      </c>
      <c r="G892" t="s">
        <v>885</v>
      </c>
      <c r="H892">
        <v>26</v>
      </c>
    </row>
    <row r="893" spans="6:8" x14ac:dyDescent="0.25">
      <c r="F893">
        <v>892</v>
      </c>
      <c r="G893" t="s">
        <v>886</v>
      </c>
      <c r="H893">
        <v>26</v>
      </c>
    </row>
    <row r="894" spans="6:8" x14ac:dyDescent="0.25">
      <c r="F894">
        <v>893</v>
      </c>
      <c r="G894" t="s">
        <v>887</v>
      </c>
      <c r="H894">
        <v>27</v>
      </c>
    </row>
    <row r="895" spans="6:8" x14ac:dyDescent="0.25">
      <c r="F895">
        <v>894</v>
      </c>
      <c r="G895" t="s">
        <v>888</v>
      </c>
      <c r="H895">
        <v>28</v>
      </c>
    </row>
    <row r="896" spans="6:8" x14ac:dyDescent="0.25">
      <c r="F896">
        <v>895</v>
      </c>
      <c r="G896" t="s">
        <v>889</v>
      </c>
      <c r="H896">
        <v>28</v>
      </c>
    </row>
    <row r="897" spans="6:8" x14ac:dyDescent="0.25">
      <c r="F897">
        <v>896</v>
      </c>
      <c r="G897" t="s">
        <v>40</v>
      </c>
      <c r="H897">
        <v>28</v>
      </c>
    </row>
    <row r="898" spans="6:8" x14ac:dyDescent="0.25">
      <c r="F898">
        <v>897</v>
      </c>
      <c r="G898" t="s">
        <v>890</v>
      </c>
      <c r="H898">
        <v>28</v>
      </c>
    </row>
    <row r="899" spans="6:8" x14ac:dyDescent="0.25">
      <c r="F899">
        <v>898</v>
      </c>
      <c r="G899" t="s">
        <v>108</v>
      </c>
      <c r="H899">
        <v>28</v>
      </c>
    </row>
    <row r="900" spans="6:8" x14ac:dyDescent="0.25">
      <c r="F900">
        <v>899</v>
      </c>
      <c r="G900" t="s">
        <v>891</v>
      </c>
      <c r="H900">
        <v>28</v>
      </c>
    </row>
    <row r="901" spans="6:8" x14ac:dyDescent="0.25">
      <c r="F901">
        <v>900</v>
      </c>
      <c r="G901" t="s">
        <v>892</v>
      </c>
      <c r="H901">
        <v>28</v>
      </c>
    </row>
    <row r="902" spans="6:8" x14ac:dyDescent="0.25">
      <c r="F902">
        <v>901</v>
      </c>
      <c r="G902" t="s">
        <v>112</v>
      </c>
      <c r="H902">
        <v>28</v>
      </c>
    </row>
    <row r="903" spans="6:8" x14ac:dyDescent="0.25">
      <c r="F903">
        <v>902</v>
      </c>
      <c r="G903" t="s">
        <v>56</v>
      </c>
      <c r="H903">
        <v>28</v>
      </c>
    </row>
    <row r="904" spans="6:8" x14ac:dyDescent="0.25">
      <c r="F904">
        <v>903</v>
      </c>
      <c r="G904" t="s">
        <v>567</v>
      </c>
      <c r="H904">
        <v>28</v>
      </c>
    </row>
    <row r="905" spans="6:8" x14ac:dyDescent="0.25">
      <c r="F905">
        <v>904</v>
      </c>
      <c r="G905" t="s">
        <v>893</v>
      </c>
      <c r="H905">
        <v>28</v>
      </c>
    </row>
    <row r="906" spans="6:8" x14ac:dyDescent="0.25">
      <c r="F906">
        <v>905</v>
      </c>
      <c r="G906" t="s">
        <v>894</v>
      </c>
      <c r="H906">
        <v>28</v>
      </c>
    </row>
    <row r="907" spans="6:8" x14ac:dyDescent="0.25">
      <c r="F907">
        <v>906</v>
      </c>
      <c r="G907" t="s">
        <v>895</v>
      </c>
      <c r="H907">
        <v>28</v>
      </c>
    </row>
    <row r="908" spans="6:8" x14ac:dyDescent="0.25">
      <c r="F908">
        <v>907</v>
      </c>
      <c r="G908" t="s">
        <v>896</v>
      </c>
      <c r="H908">
        <v>28</v>
      </c>
    </row>
    <row r="909" spans="6:8" x14ac:dyDescent="0.25">
      <c r="F909">
        <v>908</v>
      </c>
      <c r="G909" t="s">
        <v>897</v>
      </c>
      <c r="H909">
        <v>28</v>
      </c>
    </row>
    <row r="910" spans="6:8" x14ac:dyDescent="0.25">
      <c r="F910">
        <v>909</v>
      </c>
      <c r="G910" t="s">
        <v>898</v>
      </c>
      <c r="H910">
        <v>28</v>
      </c>
    </row>
    <row r="911" spans="6:8" x14ac:dyDescent="0.25">
      <c r="F911">
        <v>910</v>
      </c>
      <c r="G911" t="s">
        <v>899</v>
      </c>
      <c r="H911">
        <v>28</v>
      </c>
    </row>
    <row r="912" spans="6:8" x14ac:dyDescent="0.25">
      <c r="F912">
        <v>911</v>
      </c>
      <c r="G912" t="s">
        <v>535</v>
      </c>
      <c r="H912">
        <v>28</v>
      </c>
    </row>
    <row r="913" spans="6:8" x14ac:dyDescent="0.25">
      <c r="F913">
        <v>912</v>
      </c>
      <c r="G913" t="s">
        <v>900</v>
      </c>
      <c r="H913">
        <v>28</v>
      </c>
    </row>
    <row r="914" spans="6:8" x14ac:dyDescent="0.25">
      <c r="F914">
        <v>913</v>
      </c>
      <c r="G914" t="s">
        <v>901</v>
      </c>
      <c r="H914">
        <v>28</v>
      </c>
    </row>
    <row r="915" spans="6:8" x14ac:dyDescent="0.25">
      <c r="F915">
        <v>914</v>
      </c>
      <c r="G915" t="s">
        <v>128</v>
      </c>
      <c r="H915">
        <v>28</v>
      </c>
    </row>
    <row r="916" spans="6:8" x14ac:dyDescent="0.25">
      <c r="F916">
        <v>915</v>
      </c>
      <c r="G916" t="s">
        <v>902</v>
      </c>
      <c r="H916">
        <v>28</v>
      </c>
    </row>
    <row r="917" spans="6:8" x14ac:dyDescent="0.25">
      <c r="F917">
        <v>916</v>
      </c>
      <c r="G917" t="s">
        <v>903</v>
      </c>
      <c r="H917">
        <v>28</v>
      </c>
    </row>
    <row r="918" spans="6:8" x14ac:dyDescent="0.25">
      <c r="F918">
        <v>917</v>
      </c>
      <c r="G918" t="s">
        <v>904</v>
      </c>
      <c r="H918">
        <v>28</v>
      </c>
    </row>
    <row r="919" spans="6:8" x14ac:dyDescent="0.25">
      <c r="F919">
        <v>918</v>
      </c>
      <c r="G919" t="s">
        <v>905</v>
      </c>
      <c r="H919">
        <v>28</v>
      </c>
    </row>
    <row r="920" spans="6:8" x14ac:dyDescent="0.25">
      <c r="F920">
        <v>919</v>
      </c>
      <c r="G920" t="s">
        <v>906</v>
      </c>
      <c r="H920">
        <v>28</v>
      </c>
    </row>
    <row r="921" spans="6:8" x14ac:dyDescent="0.25">
      <c r="F921">
        <v>920</v>
      </c>
      <c r="G921" t="s">
        <v>907</v>
      </c>
      <c r="H921">
        <v>28</v>
      </c>
    </row>
    <row r="922" spans="6:8" x14ac:dyDescent="0.25">
      <c r="F922">
        <v>921</v>
      </c>
      <c r="G922" t="s">
        <v>253</v>
      </c>
      <c r="H922">
        <v>28</v>
      </c>
    </row>
    <row r="923" spans="6:8" x14ac:dyDescent="0.25">
      <c r="F923">
        <v>922</v>
      </c>
      <c r="G923" t="s">
        <v>908</v>
      </c>
      <c r="H923">
        <v>28</v>
      </c>
    </row>
    <row r="924" spans="6:8" x14ac:dyDescent="0.25">
      <c r="F924">
        <v>923</v>
      </c>
      <c r="G924" t="s">
        <v>909</v>
      </c>
      <c r="H924">
        <v>28</v>
      </c>
    </row>
    <row r="925" spans="6:8" x14ac:dyDescent="0.25">
      <c r="F925">
        <v>924</v>
      </c>
      <c r="G925" t="s">
        <v>910</v>
      </c>
      <c r="H925">
        <v>28</v>
      </c>
    </row>
    <row r="926" spans="6:8" x14ac:dyDescent="0.25">
      <c r="F926">
        <v>925</v>
      </c>
      <c r="G926" t="s">
        <v>911</v>
      </c>
      <c r="H926">
        <v>28</v>
      </c>
    </row>
    <row r="927" spans="6:8" x14ac:dyDescent="0.25">
      <c r="F927">
        <v>926</v>
      </c>
      <c r="G927" t="s">
        <v>45</v>
      </c>
      <c r="H927">
        <v>28</v>
      </c>
    </row>
    <row r="928" spans="6:8" x14ac:dyDescent="0.25">
      <c r="F928">
        <v>927</v>
      </c>
      <c r="G928" t="s">
        <v>912</v>
      </c>
      <c r="H928">
        <v>28</v>
      </c>
    </row>
    <row r="929" spans="6:8" x14ac:dyDescent="0.25">
      <c r="F929">
        <v>928</v>
      </c>
      <c r="G929" t="s">
        <v>913</v>
      </c>
      <c r="H929">
        <v>28</v>
      </c>
    </row>
    <row r="930" spans="6:8" x14ac:dyDescent="0.25">
      <c r="F930">
        <v>929</v>
      </c>
      <c r="G930" t="s">
        <v>914</v>
      </c>
      <c r="H930">
        <v>28</v>
      </c>
    </row>
    <row r="931" spans="6:8" x14ac:dyDescent="0.25">
      <c r="F931">
        <v>930</v>
      </c>
      <c r="G931" t="s">
        <v>915</v>
      </c>
      <c r="H931">
        <v>28</v>
      </c>
    </row>
    <row r="932" spans="6:8" x14ac:dyDescent="0.25">
      <c r="F932">
        <v>931</v>
      </c>
      <c r="G932" t="s">
        <v>146</v>
      </c>
      <c r="H932">
        <v>28</v>
      </c>
    </row>
    <row r="933" spans="6:8" x14ac:dyDescent="0.25">
      <c r="F933">
        <v>932</v>
      </c>
      <c r="G933" t="s">
        <v>916</v>
      </c>
      <c r="H933">
        <v>28</v>
      </c>
    </row>
    <row r="934" spans="6:8" x14ac:dyDescent="0.25">
      <c r="F934">
        <v>933</v>
      </c>
      <c r="G934" t="s">
        <v>917</v>
      </c>
      <c r="H934">
        <v>28</v>
      </c>
    </row>
    <row r="935" spans="6:8" x14ac:dyDescent="0.25">
      <c r="F935">
        <v>934</v>
      </c>
      <c r="G935" t="s">
        <v>918</v>
      </c>
      <c r="H935">
        <v>28</v>
      </c>
    </row>
    <row r="936" spans="6:8" x14ac:dyDescent="0.25">
      <c r="F936">
        <v>935</v>
      </c>
      <c r="G936" t="s">
        <v>919</v>
      </c>
      <c r="H936">
        <v>28</v>
      </c>
    </row>
    <row r="937" spans="6:8" x14ac:dyDescent="0.25">
      <c r="F937">
        <v>936</v>
      </c>
      <c r="G937" t="s">
        <v>920</v>
      </c>
      <c r="H937">
        <v>28</v>
      </c>
    </row>
    <row r="938" spans="6:8" x14ac:dyDescent="0.25">
      <c r="F938">
        <v>937</v>
      </c>
      <c r="G938" t="s">
        <v>921</v>
      </c>
      <c r="H938">
        <v>28</v>
      </c>
    </row>
    <row r="939" spans="6:8" x14ac:dyDescent="0.25">
      <c r="F939">
        <v>938</v>
      </c>
      <c r="G939" t="s">
        <v>922</v>
      </c>
      <c r="H939">
        <v>28</v>
      </c>
    </row>
    <row r="940" spans="6:8" x14ac:dyDescent="0.25">
      <c r="F940">
        <v>939</v>
      </c>
      <c r="G940" t="s">
        <v>923</v>
      </c>
      <c r="H940">
        <v>28</v>
      </c>
    </row>
    <row r="941" spans="6:8" x14ac:dyDescent="0.25">
      <c r="F941">
        <v>940</v>
      </c>
      <c r="G941" t="s">
        <v>924</v>
      </c>
      <c r="H941">
        <v>28</v>
      </c>
    </row>
    <row r="942" spans="6:8" x14ac:dyDescent="0.25">
      <c r="F942">
        <v>941</v>
      </c>
      <c r="G942" t="s">
        <v>925</v>
      </c>
      <c r="H942">
        <v>28</v>
      </c>
    </row>
    <row r="943" spans="6:8" x14ac:dyDescent="0.25">
      <c r="F943">
        <v>942</v>
      </c>
      <c r="G943" t="s">
        <v>926</v>
      </c>
      <c r="H943">
        <v>28</v>
      </c>
    </row>
    <row r="944" spans="6:8" x14ac:dyDescent="0.25">
      <c r="F944">
        <v>943</v>
      </c>
      <c r="G944" t="s">
        <v>927</v>
      </c>
      <c r="H944">
        <v>28</v>
      </c>
    </row>
    <row r="945" spans="6:8" x14ac:dyDescent="0.25">
      <c r="F945">
        <v>944</v>
      </c>
      <c r="G945" t="s">
        <v>928</v>
      </c>
      <c r="H945">
        <v>28</v>
      </c>
    </row>
    <row r="946" spans="6:8" x14ac:dyDescent="0.25">
      <c r="F946">
        <v>945</v>
      </c>
      <c r="G946" t="s">
        <v>929</v>
      </c>
      <c r="H946">
        <v>28</v>
      </c>
    </row>
    <row r="947" spans="6:8" x14ac:dyDescent="0.25">
      <c r="F947">
        <v>946</v>
      </c>
      <c r="G947" t="s">
        <v>930</v>
      </c>
      <c r="H947">
        <v>28</v>
      </c>
    </row>
    <row r="948" spans="6:8" x14ac:dyDescent="0.25">
      <c r="F948">
        <v>947</v>
      </c>
      <c r="G948" t="s">
        <v>931</v>
      </c>
      <c r="H948">
        <v>28</v>
      </c>
    </row>
    <row r="949" spans="6:8" x14ac:dyDescent="0.25">
      <c r="F949">
        <v>948</v>
      </c>
      <c r="G949" t="s">
        <v>932</v>
      </c>
      <c r="H949">
        <v>28</v>
      </c>
    </row>
    <row r="950" spans="6:8" x14ac:dyDescent="0.25">
      <c r="F950">
        <v>949</v>
      </c>
      <c r="G950" t="s">
        <v>933</v>
      </c>
      <c r="H950">
        <v>28</v>
      </c>
    </row>
    <row r="951" spans="6:8" x14ac:dyDescent="0.25">
      <c r="F951">
        <v>950</v>
      </c>
      <c r="G951" t="s">
        <v>934</v>
      </c>
      <c r="H951">
        <v>28</v>
      </c>
    </row>
    <row r="952" spans="6:8" x14ac:dyDescent="0.25">
      <c r="F952">
        <v>951</v>
      </c>
      <c r="G952" t="s">
        <v>935</v>
      </c>
      <c r="H952">
        <v>28</v>
      </c>
    </row>
    <row r="953" spans="6:8" x14ac:dyDescent="0.25">
      <c r="F953">
        <v>952</v>
      </c>
      <c r="G953" t="s">
        <v>936</v>
      </c>
      <c r="H953">
        <v>28</v>
      </c>
    </row>
    <row r="954" spans="6:8" x14ac:dyDescent="0.25">
      <c r="F954">
        <v>953</v>
      </c>
      <c r="G954" t="s">
        <v>937</v>
      </c>
      <c r="H954">
        <v>28</v>
      </c>
    </row>
    <row r="955" spans="6:8" x14ac:dyDescent="0.25">
      <c r="F955">
        <v>954</v>
      </c>
      <c r="G955" t="s">
        <v>938</v>
      </c>
      <c r="H955">
        <v>28</v>
      </c>
    </row>
    <row r="956" spans="6:8" x14ac:dyDescent="0.25">
      <c r="F956">
        <v>955</v>
      </c>
      <c r="G956" t="s">
        <v>939</v>
      </c>
      <c r="H956">
        <v>28</v>
      </c>
    </row>
    <row r="957" spans="6:8" x14ac:dyDescent="0.25">
      <c r="F957">
        <v>956</v>
      </c>
      <c r="G957" t="s">
        <v>940</v>
      </c>
      <c r="H957">
        <v>28</v>
      </c>
    </row>
    <row r="958" spans="6:8" x14ac:dyDescent="0.25">
      <c r="F958">
        <v>957</v>
      </c>
      <c r="G958" t="s">
        <v>941</v>
      </c>
      <c r="H958">
        <v>28</v>
      </c>
    </row>
    <row r="959" spans="6:8" x14ac:dyDescent="0.25">
      <c r="F959">
        <v>958</v>
      </c>
      <c r="G959" t="s">
        <v>942</v>
      </c>
      <c r="H959">
        <v>28</v>
      </c>
    </row>
    <row r="960" spans="6:8" x14ac:dyDescent="0.25">
      <c r="F960">
        <v>959</v>
      </c>
      <c r="G960" t="s">
        <v>174</v>
      </c>
      <c r="H960">
        <v>28</v>
      </c>
    </row>
    <row r="961" spans="6:8" x14ac:dyDescent="0.25">
      <c r="F961">
        <v>960</v>
      </c>
      <c r="G961" t="s">
        <v>943</v>
      </c>
      <c r="H961">
        <v>28</v>
      </c>
    </row>
    <row r="962" spans="6:8" x14ac:dyDescent="0.25">
      <c r="F962">
        <v>961</v>
      </c>
      <c r="G962" t="s">
        <v>887</v>
      </c>
      <c r="H962">
        <v>28</v>
      </c>
    </row>
    <row r="963" spans="6:8" x14ac:dyDescent="0.25">
      <c r="F963">
        <v>962</v>
      </c>
      <c r="G963" t="s">
        <v>944</v>
      </c>
      <c r="H963">
        <v>28</v>
      </c>
    </row>
    <row r="964" spans="6:8" x14ac:dyDescent="0.25">
      <c r="F964">
        <v>963</v>
      </c>
      <c r="G964" t="s">
        <v>945</v>
      </c>
      <c r="H964">
        <v>28</v>
      </c>
    </row>
    <row r="965" spans="6:8" x14ac:dyDescent="0.25">
      <c r="F965">
        <v>964</v>
      </c>
      <c r="G965" t="s">
        <v>946</v>
      </c>
      <c r="H965">
        <v>28</v>
      </c>
    </row>
    <row r="966" spans="6:8" x14ac:dyDescent="0.25">
      <c r="F966">
        <v>965</v>
      </c>
      <c r="G966" t="s">
        <v>947</v>
      </c>
      <c r="H966">
        <v>28</v>
      </c>
    </row>
    <row r="967" spans="6:8" x14ac:dyDescent="0.25">
      <c r="F967">
        <v>966</v>
      </c>
      <c r="G967" t="s">
        <v>864</v>
      </c>
      <c r="H967">
        <v>28</v>
      </c>
    </row>
    <row r="968" spans="6:8" x14ac:dyDescent="0.25">
      <c r="F968">
        <v>967</v>
      </c>
      <c r="G968" t="s">
        <v>948</v>
      </c>
      <c r="H968">
        <v>28</v>
      </c>
    </row>
    <row r="969" spans="6:8" x14ac:dyDescent="0.25">
      <c r="F969">
        <v>968</v>
      </c>
      <c r="G969" t="s">
        <v>43</v>
      </c>
      <c r="H969">
        <v>28</v>
      </c>
    </row>
    <row r="970" spans="6:8" x14ac:dyDescent="0.25">
      <c r="F970">
        <v>969</v>
      </c>
      <c r="G970" t="s">
        <v>949</v>
      </c>
      <c r="H970">
        <v>28</v>
      </c>
    </row>
    <row r="971" spans="6:8" x14ac:dyDescent="0.25">
      <c r="F971">
        <v>970</v>
      </c>
      <c r="G971" t="s">
        <v>950</v>
      </c>
      <c r="H971">
        <v>28</v>
      </c>
    </row>
    <row r="972" spans="6:8" x14ac:dyDescent="0.25">
      <c r="F972">
        <v>971</v>
      </c>
      <c r="G972" t="s">
        <v>951</v>
      </c>
      <c r="H972">
        <v>28</v>
      </c>
    </row>
    <row r="973" spans="6:8" x14ac:dyDescent="0.25">
      <c r="F973">
        <v>972</v>
      </c>
      <c r="G973" t="s">
        <v>952</v>
      </c>
      <c r="H973">
        <v>28</v>
      </c>
    </row>
    <row r="974" spans="6:8" x14ac:dyDescent="0.25">
      <c r="F974">
        <v>973</v>
      </c>
      <c r="G974" t="s">
        <v>79</v>
      </c>
      <c r="H974">
        <v>28</v>
      </c>
    </row>
    <row r="975" spans="6:8" x14ac:dyDescent="0.25">
      <c r="F975">
        <v>974</v>
      </c>
      <c r="G975" t="s">
        <v>953</v>
      </c>
      <c r="H975">
        <v>28</v>
      </c>
    </row>
    <row r="976" spans="6:8" x14ac:dyDescent="0.25">
      <c r="F976">
        <v>975</v>
      </c>
      <c r="G976" t="s">
        <v>954</v>
      </c>
      <c r="H976">
        <v>28</v>
      </c>
    </row>
    <row r="977" spans="6:8" x14ac:dyDescent="0.25">
      <c r="F977">
        <v>976</v>
      </c>
      <c r="G977" t="s">
        <v>955</v>
      </c>
      <c r="H977">
        <v>28</v>
      </c>
    </row>
    <row r="978" spans="6:8" x14ac:dyDescent="0.25">
      <c r="F978">
        <v>977</v>
      </c>
      <c r="G978" t="s">
        <v>956</v>
      </c>
      <c r="H978">
        <v>28</v>
      </c>
    </row>
    <row r="979" spans="6:8" x14ac:dyDescent="0.25">
      <c r="F979">
        <v>978</v>
      </c>
      <c r="G979" t="s">
        <v>957</v>
      </c>
      <c r="H979">
        <v>28</v>
      </c>
    </row>
    <row r="980" spans="6:8" x14ac:dyDescent="0.25">
      <c r="F980">
        <v>979</v>
      </c>
      <c r="G980" t="s">
        <v>281</v>
      </c>
      <c r="H980">
        <v>28</v>
      </c>
    </row>
    <row r="981" spans="6:8" x14ac:dyDescent="0.25">
      <c r="F981">
        <v>980</v>
      </c>
      <c r="G981" t="s">
        <v>958</v>
      </c>
      <c r="H981">
        <v>28</v>
      </c>
    </row>
    <row r="982" spans="6:8" x14ac:dyDescent="0.25">
      <c r="F982">
        <v>981</v>
      </c>
      <c r="G982" t="s">
        <v>959</v>
      </c>
      <c r="H982">
        <v>29</v>
      </c>
    </row>
    <row r="983" spans="6:8" x14ac:dyDescent="0.25">
      <c r="F983">
        <v>982</v>
      </c>
      <c r="G983" t="s">
        <v>112</v>
      </c>
      <c r="H983">
        <v>29</v>
      </c>
    </row>
    <row r="984" spans="6:8" x14ac:dyDescent="0.25">
      <c r="F984">
        <v>983</v>
      </c>
      <c r="G984" t="s">
        <v>291</v>
      </c>
      <c r="H984">
        <v>29</v>
      </c>
    </row>
    <row r="985" spans="6:8" x14ac:dyDescent="0.25">
      <c r="F985">
        <v>984</v>
      </c>
      <c r="G985" t="s">
        <v>960</v>
      </c>
      <c r="H985">
        <v>29</v>
      </c>
    </row>
    <row r="986" spans="6:8" x14ac:dyDescent="0.25">
      <c r="F986">
        <v>985</v>
      </c>
      <c r="G986" t="s">
        <v>961</v>
      </c>
      <c r="H986">
        <v>29</v>
      </c>
    </row>
    <row r="987" spans="6:8" x14ac:dyDescent="0.25">
      <c r="F987">
        <v>986</v>
      </c>
      <c r="G987" t="s">
        <v>962</v>
      </c>
      <c r="H987">
        <v>29</v>
      </c>
    </row>
    <row r="988" spans="6:8" x14ac:dyDescent="0.25">
      <c r="F988">
        <v>987</v>
      </c>
      <c r="G988" t="s">
        <v>963</v>
      </c>
      <c r="H988">
        <v>29</v>
      </c>
    </row>
    <row r="989" spans="6:8" x14ac:dyDescent="0.25">
      <c r="F989">
        <v>988</v>
      </c>
      <c r="G989" t="s">
        <v>964</v>
      </c>
      <c r="H989">
        <v>29</v>
      </c>
    </row>
    <row r="990" spans="6:8" x14ac:dyDescent="0.25">
      <c r="F990">
        <v>989</v>
      </c>
      <c r="G990" t="s">
        <v>965</v>
      </c>
      <c r="H990">
        <v>29</v>
      </c>
    </row>
    <row r="991" spans="6:8" x14ac:dyDescent="0.25">
      <c r="F991">
        <v>990</v>
      </c>
      <c r="G991" t="s">
        <v>966</v>
      </c>
      <c r="H991">
        <v>29</v>
      </c>
    </row>
    <row r="992" spans="6:8" x14ac:dyDescent="0.25">
      <c r="F992">
        <v>991</v>
      </c>
      <c r="G992" t="s">
        <v>967</v>
      </c>
      <c r="H992">
        <v>29</v>
      </c>
    </row>
    <row r="993" spans="6:8" x14ac:dyDescent="0.25">
      <c r="F993">
        <v>992</v>
      </c>
      <c r="G993" t="s">
        <v>158</v>
      </c>
      <c r="H993">
        <v>29</v>
      </c>
    </row>
    <row r="994" spans="6:8" x14ac:dyDescent="0.25">
      <c r="F994">
        <v>993</v>
      </c>
      <c r="G994" t="s">
        <v>968</v>
      </c>
      <c r="H994">
        <v>29</v>
      </c>
    </row>
    <row r="995" spans="6:8" x14ac:dyDescent="0.25">
      <c r="F995">
        <v>994</v>
      </c>
      <c r="G995" t="s">
        <v>969</v>
      </c>
      <c r="H995">
        <v>29</v>
      </c>
    </row>
    <row r="996" spans="6:8" x14ac:dyDescent="0.25">
      <c r="F996">
        <v>995</v>
      </c>
      <c r="G996" t="s">
        <v>970</v>
      </c>
      <c r="H996">
        <v>29</v>
      </c>
    </row>
    <row r="997" spans="6:8" x14ac:dyDescent="0.25">
      <c r="F997">
        <v>996</v>
      </c>
      <c r="G997" t="s">
        <v>971</v>
      </c>
      <c r="H997">
        <v>29</v>
      </c>
    </row>
    <row r="998" spans="6:8" x14ac:dyDescent="0.25">
      <c r="F998">
        <v>997</v>
      </c>
      <c r="G998" t="s">
        <v>972</v>
      </c>
      <c r="H998">
        <v>29</v>
      </c>
    </row>
    <row r="999" spans="6:8" x14ac:dyDescent="0.25">
      <c r="F999">
        <v>998</v>
      </c>
      <c r="G999" t="s">
        <v>973</v>
      </c>
      <c r="H999">
        <v>29</v>
      </c>
    </row>
    <row r="1000" spans="6:8" x14ac:dyDescent="0.25">
      <c r="F1000">
        <v>999</v>
      </c>
      <c r="G1000" t="s">
        <v>974</v>
      </c>
      <c r="H1000">
        <v>29</v>
      </c>
    </row>
    <row r="1001" spans="6:8" x14ac:dyDescent="0.25">
      <c r="F1001">
        <v>1000</v>
      </c>
      <c r="G1001" t="s">
        <v>975</v>
      </c>
      <c r="H1001">
        <v>29</v>
      </c>
    </row>
    <row r="1002" spans="6:8" x14ac:dyDescent="0.25">
      <c r="F1002">
        <v>1001</v>
      </c>
      <c r="G1002" t="s">
        <v>976</v>
      </c>
      <c r="H1002">
        <v>29</v>
      </c>
    </row>
    <row r="1003" spans="6:8" x14ac:dyDescent="0.25">
      <c r="F1003">
        <v>1002</v>
      </c>
      <c r="G1003" t="s">
        <v>977</v>
      </c>
      <c r="H1003">
        <v>29</v>
      </c>
    </row>
    <row r="1004" spans="6:8" x14ac:dyDescent="0.25">
      <c r="F1004">
        <v>1003</v>
      </c>
      <c r="G1004" t="s">
        <v>978</v>
      </c>
      <c r="H1004">
        <v>29</v>
      </c>
    </row>
    <row r="1005" spans="6:8" x14ac:dyDescent="0.25">
      <c r="F1005">
        <v>1004</v>
      </c>
      <c r="G1005" t="s">
        <v>979</v>
      </c>
      <c r="H1005">
        <v>29</v>
      </c>
    </row>
    <row r="1006" spans="6:8" x14ac:dyDescent="0.25">
      <c r="F1006">
        <v>1005</v>
      </c>
      <c r="G1006" t="s">
        <v>79</v>
      </c>
      <c r="H1006">
        <v>29</v>
      </c>
    </row>
    <row r="1007" spans="6:8" x14ac:dyDescent="0.25">
      <c r="F1007">
        <v>1006</v>
      </c>
      <c r="G1007" t="s">
        <v>980</v>
      </c>
      <c r="H1007">
        <v>29</v>
      </c>
    </row>
    <row r="1008" spans="6:8" x14ac:dyDescent="0.25">
      <c r="F1008">
        <v>1007</v>
      </c>
      <c r="G1008" t="s">
        <v>981</v>
      </c>
      <c r="H1008">
        <v>29</v>
      </c>
    </row>
    <row r="1009" spans="6:8" x14ac:dyDescent="0.25">
      <c r="F1009">
        <v>1008</v>
      </c>
      <c r="G1009" t="s">
        <v>982</v>
      </c>
      <c r="H1009">
        <v>30</v>
      </c>
    </row>
    <row r="1010" spans="6:8" x14ac:dyDescent="0.25">
      <c r="F1010">
        <v>1009</v>
      </c>
      <c r="G1010" t="s">
        <v>983</v>
      </c>
      <c r="H1010">
        <v>30</v>
      </c>
    </row>
    <row r="1011" spans="6:8" x14ac:dyDescent="0.25">
      <c r="F1011">
        <v>1010</v>
      </c>
      <c r="G1011" t="s">
        <v>984</v>
      </c>
      <c r="H1011">
        <v>30</v>
      </c>
    </row>
    <row r="1012" spans="6:8" x14ac:dyDescent="0.25">
      <c r="F1012">
        <v>1011</v>
      </c>
      <c r="G1012" t="s">
        <v>985</v>
      </c>
      <c r="H1012">
        <v>30</v>
      </c>
    </row>
    <row r="1013" spans="6:8" x14ac:dyDescent="0.25">
      <c r="F1013">
        <v>1012</v>
      </c>
      <c r="G1013" t="s">
        <v>986</v>
      </c>
      <c r="H1013">
        <v>30</v>
      </c>
    </row>
    <row r="1014" spans="6:8" x14ac:dyDescent="0.25">
      <c r="F1014">
        <v>1013</v>
      </c>
      <c r="G1014" t="s">
        <v>987</v>
      </c>
      <c r="H1014">
        <v>30</v>
      </c>
    </row>
    <row r="1015" spans="6:8" x14ac:dyDescent="0.25">
      <c r="F1015">
        <v>1014</v>
      </c>
      <c r="G1015" t="s">
        <v>988</v>
      </c>
      <c r="H1015">
        <v>30</v>
      </c>
    </row>
    <row r="1016" spans="6:8" x14ac:dyDescent="0.25">
      <c r="F1016">
        <v>1015</v>
      </c>
      <c r="G1016" t="s">
        <v>989</v>
      </c>
      <c r="H1016">
        <v>30</v>
      </c>
    </row>
    <row r="1017" spans="6:8" x14ac:dyDescent="0.25">
      <c r="F1017">
        <v>1016</v>
      </c>
      <c r="G1017" t="s">
        <v>990</v>
      </c>
      <c r="H1017">
        <v>30</v>
      </c>
    </row>
    <row r="1018" spans="6:8" x14ac:dyDescent="0.25">
      <c r="F1018">
        <v>1017</v>
      </c>
      <c r="G1018" t="s">
        <v>991</v>
      </c>
      <c r="H1018">
        <v>30</v>
      </c>
    </row>
    <row r="1019" spans="6:8" x14ac:dyDescent="0.25">
      <c r="F1019">
        <v>1018</v>
      </c>
      <c r="G1019" t="s">
        <v>992</v>
      </c>
      <c r="H1019">
        <v>30</v>
      </c>
    </row>
    <row r="1020" spans="6:8" x14ac:dyDescent="0.25">
      <c r="F1020">
        <v>1019</v>
      </c>
      <c r="G1020" t="s">
        <v>993</v>
      </c>
      <c r="H1020">
        <v>30</v>
      </c>
    </row>
    <row r="1021" spans="6:8" x14ac:dyDescent="0.25">
      <c r="F1021">
        <v>1020</v>
      </c>
      <c r="G1021" t="s">
        <v>46</v>
      </c>
      <c r="H1021">
        <v>30</v>
      </c>
    </row>
    <row r="1022" spans="6:8" x14ac:dyDescent="0.25">
      <c r="F1022">
        <v>1021</v>
      </c>
      <c r="G1022" t="s">
        <v>994</v>
      </c>
      <c r="H1022">
        <v>30</v>
      </c>
    </row>
    <row r="1023" spans="6:8" x14ac:dyDescent="0.25">
      <c r="F1023">
        <v>1022</v>
      </c>
      <c r="G1023" t="s">
        <v>995</v>
      </c>
      <c r="H1023">
        <v>30</v>
      </c>
    </row>
    <row r="1024" spans="6:8" x14ac:dyDescent="0.25">
      <c r="F1024">
        <v>1023</v>
      </c>
      <c r="G1024" t="s">
        <v>996</v>
      </c>
      <c r="H1024">
        <v>30</v>
      </c>
    </row>
    <row r="1025" spans="6:8" x14ac:dyDescent="0.25">
      <c r="F1025">
        <v>1024</v>
      </c>
      <c r="G1025" t="s">
        <v>997</v>
      </c>
      <c r="H1025">
        <v>30</v>
      </c>
    </row>
    <row r="1026" spans="6:8" x14ac:dyDescent="0.25">
      <c r="F1026">
        <v>1025</v>
      </c>
      <c r="G1026" t="s">
        <v>998</v>
      </c>
      <c r="H1026">
        <v>30</v>
      </c>
    </row>
    <row r="1027" spans="6:8" x14ac:dyDescent="0.25">
      <c r="F1027">
        <v>1026</v>
      </c>
      <c r="G1027" t="s">
        <v>999</v>
      </c>
      <c r="H1027">
        <v>30</v>
      </c>
    </row>
    <row r="1028" spans="6:8" x14ac:dyDescent="0.25">
      <c r="F1028">
        <v>1027</v>
      </c>
      <c r="G1028" t="s">
        <v>1000</v>
      </c>
      <c r="H1028">
        <v>30</v>
      </c>
    </row>
    <row r="1029" spans="6:8" x14ac:dyDescent="0.25">
      <c r="F1029">
        <v>1028</v>
      </c>
      <c r="G1029" t="s">
        <v>1001</v>
      </c>
      <c r="H1029">
        <v>30</v>
      </c>
    </row>
    <row r="1030" spans="6:8" x14ac:dyDescent="0.25">
      <c r="F1030">
        <v>1029</v>
      </c>
      <c r="G1030" t="s">
        <v>1002</v>
      </c>
      <c r="H1030">
        <v>30</v>
      </c>
    </row>
    <row r="1031" spans="6:8" x14ac:dyDescent="0.25">
      <c r="F1031">
        <v>1030</v>
      </c>
      <c r="G1031" t="s">
        <v>1003</v>
      </c>
      <c r="H1031">
        <v>30</v>
      </c>
    </row>
    <row r="1032" spans="6:8" x14ac:dyDescent="0.25">
      <c r="F1032">
        <v>1031</v>
      </c>
      <c r="G1032" t="s">
        <v>1004</v>
      </c>
      <c r="H1032">
        <v>30</v>
      </c>
    </row>
    <row r="1033" spans="6:8" x14ac:dyDescent="0.25">
      <c r="F1033">
        <v>1032</v>
      </c>
      <c r="G1033" t="s">
        <v>1005</v>
      </c>
      <c r="H1033">
        <v>30</v>
      </c>
    </row>
    <row r="1034" spans="6:8" x14ac:dyDescent="0.25">
      <c r="F1034">
        <v>1033</v>
      </c>
      <c r="G1034" t="s">
        <v>1006</v>
      </c>
      <c r="H1034">
        <v>30</v>
      </c>
    </row>
    <row r="1035" spans="6:8" x14ac:dyDescent="0.25">
      <c r="F1035">
        <v>1034</v>
      </c>
      <c r="G1035" t="s">
        <v>1007</v>
      </c>
      <c r="H1035">
        <v>30</v>
      </c>
    </row>
    <row r="1036" spans="6:8" x14ac:dyDescent="0.25">
      <c r="F1036">
        <v>1035</v>
      </c>
      <c r="G1036" t="s">
        <v>1008</v>
      </c>
      <c r="H1036">
        <v>30</v>
      </c>
    </row>
    <row r="1037" spans="6:8" x14ac:dyDescent="0.25">
      <c r="F1037">
        <v>1036</v>
      </c>
      <c r="G1037" t="s">
        <v>1009</v>
      </c>
      <c r="H1037">
        <v>30</v>
      </c>
    </row>
    <row r="1038" spans="6:8" x14ac:dyDescent="0.25">
      <c r="F1038">
        <v>1037</v>
      </c>
      <c r="G1038" t="s">
        <v>1010</v>
      </c>
      <c r="H1038">
        <v>30</v>
      </c>
    </row>
    <row r="1039" spans="6:8" x14ac:dyDescent="0.25">
      <c r="F1039">
        <v>1038</v>
      </c>
      <c r="G1039" t="s">
        <v>1011</v>
      </c>
      <c r="H1039">
        <v>30</v>
      </c>
    </row>
    <row r="1040" spans="6:8" x14ac:dyDescent="0.25">
      <c r="F1040">
        <v>1039</v>
      </c>
      <c r="G1040" t="s">
        <v>1012</v>
      </c>
      <c r="H1040">
        <v>30</v>
      </c>
    </row>
    <row r="1041" spans="6:8" x14ac:dyDescent="0.25">
      <c r="F1041">
        <v>1040</v>
      </c>
      <c r="G1041" t="s">
        <v>1013</v>
      </c>
      <c r="H1041">
        <v>30</v>
      </c>
    </row>
    <row r="1042" spans="6:8" x14ac:dyDescent="0.25">
      <c r="F1042">
        <v>1041</v>
      </c>
      <c r="G1042" t="s">
        <v>1014</v>
      </c>
      <c r="H1042">
        <v>30</v>
      </c>
    </row>
    <row r="1043" spans="6:8" x14ac:dyDescent="0.25">
      <c r="F1043">
        <v>1042</v>
      </c>
      <c r="G1043" t="s">
        <v>1015</v>
      </c>
      <c r="H1043">
        <v>30</v>
      </c>
    </row>
    <row r="1044" spans="6:8" x14ac:dyDescent="0.25">
      <c r="F1044">
        <v>1043</v>
      </c>
      <c r="G1044" t="s">
        <v>1016</v>
      </c>
      <c r="H1044">
        <v>30</v>
      </c>
    </row>
    <row r="1045" spans="6:8" x14ac:dyDescent="0.25">
      <c r="F1045">
        <v>1044</v>
      </c>
      <c r="G1045" t="s">
        <v>1017</v>
      </c>
      <c r="H1045">
        <v>30</v>
      </c>
    </row>
    <row r="1046" spans="6:8" x14ac:dyDescent="0.25">
      <c r="F1046">
        <v>1045</v>
      </c>
      <c r="G1046" t="s">
        <v>1018</v>
      </c>
      <c r="H1046">
        <v>30</v>
      </c>
    </row>
    <row r="1047" spans="6:8" x14ac:dyDescent="0.25">
      <c r="F1047">
        <v>1046</v>
      </c>
      <c r="G1047" t="s">
        <v>1019</v>
      </c>
      <c r="H1047">
        <v>30</v>
      </c>
    </row>
    <row r="1048" spans="6:8" x14ac:dyDescent="0.25">
      <c r="F1048">
        <v>1047</v>
      </c>
      <c r="G1048" t="s">
        <v>474</v>
      </c>
      <c r="H1048">
        <v>30</v>
      </c>
    </row>
    <row r="1049" spans="6:8" x14ac:dyDescent="0.25">
      <c r="F1049">
        <v>1048</v>
      </c>
      <c r="G1049" t="s">
        <v>1020</v>
      </c>
      <c r="H1049">
        <v>30</v>
      </c>
    </row>
    <row r="1050" spans="6:8" x14ac:dyDescent="0.25">
      <c r="F1050">
        <v>1049</v>
      </c>
      <c r="G1050" t="s">
        <v>1021</v>
      </c>
      <c r="H1050">
        <v>30</v>
      </c>
    </row>
    <row r="1051" spans="6:8" x14ac:dyDescent="0.25">
      <c r="F1051">
        <v>1050</v>
      </c>
      <c r="G1051" t="s">
        <v>1022</v>
      </c>
      <c r="H1051">
        <v>30</v>
      </c>
    </row>
    <row r="1052" spans="6:8" x14ac:dyDescent="0.25">
      <c r="F1052">
        <v>1051</v>
      </c>
      <c r="G1052" t="s">
        <v>1023</v>
      </c>
      <c r="H1052">
        <v>30</v>
      </c>
    </row>
    <row r="1053" spans="6:8" x14ac:dyDescent="0.25">
      <c r="F1053">
        <v>1052</v>
      </c>
      <c r="G1053" t="s">
        <v>1024</v>
      </c>
      <c r="H1053">
        <v>31</v>
      </c>
    </row>
    <row r="1054" spans="6:8" x14ac:dyDescent="0.25">
      <c r="F1054">
        <v>1053</v>
      </c>
      <c r="G1054" t="s">
        <v>1025</v>
      </c>
      <c r="H1054">
        <v>31</v>
      </c>
    </row>
    <row r="1055" spans="6:8" x14ac:dyDescent="0.25">
      <c r="F1055">
        <v>1054</v>
      </c>
      <c r="G1055" t="s">
        <v>1026</v>
      </c>
      <c r="H1055">
        <v>31</v>
      </c>
    </row>
    <row r="1056" spans="6:8" x14ac:dyDescent="0.25">
      <c r="F1056">
        <v>1055</v>
      </c>
      <c r="G1056" t="s">
        <v>1027</v>
      </c>
      <c r="H1056">
        <v>31</v>
      </c>
    </row>
    <row r="1057" spans="6:8" x14ac:dyDescent="0.25">
      <c r="F1057">
        <v>1056</v>
      </c>
      <c r="G1057" t="s">
        <v>107</v>
      </c>
      <c r="H1057">
        <v>31</v>
      </c>
    </row>
    <row r="1058" spans="6:8" x14ac:dyDescent="0.25">
      <c r="F1058">
        <v>1057</v>
      </c>
      <c r="G1058" t="s">
        <v>56</v>
      </c>
      <c r="H1058">
        <v>31</v>
      </c>
    </row>
    <row r="1059" spans="6:8" x14ac:dyDescent="0.25">
      <c r="F1059">
        <v>1058</v>
      </c>
      <c r="G1059" t="s">
        <v>1028</v>
      </c>
      <c r="H1059">
        <v>31</v>
      </c>
    </row>
    <row r="1060" spans="6:8" x14ac:dyDescent="0.25">
      <c r="F1060">
        <v>1059</v>
      </c>
      <c r="G1060" t="s">
        <v>1029</v>
      </c>
      <c r="H1060">
        <v>31</v>
      </c>
    </row>
    <row r="1061" spans="6:8" x14ac:dyDescent="0.25">
      <c r="F1061">
        <v>1060</v>
      </c>
      <c r="G1061" t="s">
        <v>1030</v>
      </c>
      <c r="H1061">
        <v>31</v>
      </c>
    </row>
    <row r="1062" spans="6:8" x14ac:dyDescent="0.25">
      <c r="F1062">
        <v>1061</v>
      </c>
      <c r="G1062" t="s">
        <v>1031</v>
      </c>
      <c r="H1062">
        <v>31</v>
      </c>
    </row>
    <row r="1063" spans="6:8" x14ac:dyDescent="0.25">
      <c r="F1063">
        <v>1062</v>
      </c>
      <c r="G1063" t="s">
        <v>1032</v>
      </c>
      <c r="H1063">
        <v>31</v>
      </c>
    </row>
    <row r="1064" spans="6:8" x14ac:dyDescent="0.25">
      <c r="F1064">
        <v>1063</v>
      </c>
      <c r="G1064" t="s">
        <v>221</v>
      </c>
      <c r="H1064">
        <v>31</v>
      </c>
    </row>
    <row r="1065" spans="6:8" x14ac:dyDescent="0.25">
      <c r="F1065">
        <v>1064</v>
      </c>
      <c r="G1065" t="s">
        <v>1033</v>
      </c>
      <c r="H1065">
        <v>31</v>
      </c>
    </row>
    <row r="1066" spans="6:8" x14ac:dyDescent="0.25">
      <c r="F1066">
        <v>1065</v>
      </c>
      <c r="G1066" t="s">
        <v>1034</v>
      </c>
      <c r="H1066">
        <v>31</v>
      </c>
    </row>
    <row r="1067" spans="6:8" x14ac:dyDescent="0.25">
      <c r="F1067">
        <v>1066</v>
      </c>
      <c r="G1067" t="s">
        <v>1035</v>
      </c>
      <c r="H1067">
        <v>31</v>
      </c>
    </row>
    <row r="1068" spans="6:8" x14ac:dyDescent="0.25">
      <c r="F1068">
        <v>1067</v>
      </c>
      <c r="G1068" t="s">
        <v>1036</v>
      </c>
      <c r="H1068">
        <v>31</v>
      </c>
    </row>
    <row r="1069" spans="6:8" x14ac:dyDescent="0.25">
      <c r="F1069">
        <v>1068</v>
      </c>
      <c r="G1069" t="s">
        <v>1037</v>
      </c>
      <c r="H1069">
        <v>31</v>
      </c>
    </row>
    <row r="1070" spans="6:8" x14ac:dyDescent="0.25">
      <c r="F1070">
        <v>1069</v>
      </c>
      <c r="G1070" t="s">
        <v>1038</v>
      </c>
      <c r="H1070">
        <v>31</v>
      </c>
    </row>
    <row r="1071" spans="6:8" x14ac:dyDescent="0.25">
      <c r="F1071">
        <v>1070</v>
      </c>
      <c r="G1071" t="s">
        <v>1039</v>
      </c>
      <c r="H1071">
        <v>31</v>
      </c>
    </row>
    <row r="1072" spans="6:8" x14ac:dyDescent="0.25">
      <c r="F1072">
        <v>1071</v>
      </c>
      <c r="G1072" t="s">
        <v>1040</v>
      </c>
      <c r="H1072">
        <v>31</v>
      </c>
    </row>
    <row r="1073" spans="6:8" x14ac:dyDescent="0.25">
      <c r="F1073">
        <v>1072</v>
      </c>
      <c r="G1073" t="s">
        <v>1041</v>
      </c>
      <c r="H1073">
        <v>31</v>
      </c>
    </row>
    <row r="1074" spans="6:8" x14ac:dyDescent="0.25">
      <c r="F1074">
        <v>1073</v>
      </c>
      <c r="G1074" t="s">
        <v>1042</v>
      </c>
      <c r="H1074">
        <v>31</v>
      </c>
    </row>
    <row r="1075" spans="6:8" x14ac:dyDescent="0.25">
      <c r="F1075">
        <v>1074</v>
      </c>
      <c r="G1075" t="s">
        <v>1043</v>
      </c>
      <c r="H1075">
        <v>31</v>
      </c>
    </row>
    <row r="1076" spans="6:8" x14ac:dyDescent="0.25">
      <c r="F1076">
        <v>1075</v>
      </c>
      <c r="G1076" t="s">
        <v>158</v>
      </c>
      <c r="H1076">
        <v>31</v>
      </c>
    </row>
    <row r="1077" spans="6:8" x14ac:dyDescent="0.25">
      <c r="F1077">
        <v>1076</v>
      </c>
      <c r="G1077" t="s">
        <v>88</v>
      </c>
      <c r="H1077">
        <v>31</v>
      </c>
    </row>
    <row r="1078" spans="6:8" x14ac:dyDescent="0.25">
      <c r="F1078">
        <v>1077</v>
      </c>
      <c r="G1078" t="s">
        <v>800</v>
      </c>
      <c r="H1078">
        <v>31</v>
      </c>
    </row>
    <row r="1079" spans="6:8" x14ac:dyDescent="0.25">
      <c r="F1079">
        <v>1078</v>
      </c>
      <c r="G1079" t="s">
        <v>1044</v>
      </c>
      <c r="H1079">
        <v>31</v>
      </c>
    </row>
    <row r="1080" spans="6:8" x14ac:dyDescent="0.25">
      <c r="F1080">
        <v>1079</v>
      </c>
      <c r="G1080" t="s">
        <v>1045</v>
      </c>
      <c r="H1080">
        <v>31</v>
      </c>
    </row>
    <row r="1081" spans="6:8" x14ac:dyDescent="0.25">
      <c r="F1081">
        <v>1080</v>
      </c>
      <c r="G1081" t="s">
        <v>1046</v>
      </c>
      <c r="H1081">
        <v>31</v>
      </c>
    </row>
    <row r="1082" spans="6:8" x14ac:dyDescent="0.25">
      <c r="F1082">
        <v>1081</v>
      </c>
      <c r="G1082" t="s">
        <v>767</v>
      </c>
      <c r="H1082">
        <v>31</v>
      </c>
    </row>
    <row r="1083" spans="6:8" x14ac:dyDescent="0.25">
      <c r="F1083">
        <v>1082</v>
      </c>
      <c r="G1083" t="s">
        <v>1047</v>
      </c>
      <c r="H1083">
        <v>31</v>
      </c>
    </row>
    <row r="1084" spans="6:8" x14ac:dyDescent="0.25">
      <c r="F1084">
        <v>1083</v>
      </c>
      <c r="G1084" t="s">
        <v>1048</v>
      </c>
      <c r="H1084">
        <v>31</v>
      </c>
    </row>
    <row r="1085" spans="6:8" x14ac:dyDescent="0.25">
      <c r="F1085">
        <v>1084</v>
      </c>
      <c r="G1085" t="s">
        <v>978</v>
      </c>
      <c r="H1085">
        <v>31</v>
      </c>
    </row>
    <row r="1086" spans="6:8" x14ac:dyDescent="0.25">
      <c r="F1086">
        <v>1085</v>
      </c>
      <c r="G1086" t="s">
        <v>1049</v>
      </c>
      <c r="H1086">
        <v>31</v>
      </c>
    </row>
    <row r="1087" spans="6:8" x14ac:dyDescent="0.25">
      <c r="F1087">
        <v>1086</v>
      </c>
      <c r="G1087" t="s">
        <v>1050</v>
      </c>
      <c r="H1087">
        <v>31</v>
      </c>
    </row>
    <row r="1088" spans="6:8" x14ac:dyDescent="0.25">
      <c r="F1088">
        <v>1087</v>
      </c>
      <c r="G1088" t="s">
        <v>1051</v>
      </c>
      <c r="H1088">
        <v>31</v>
      </c>
    </row>
    <row r="1089" spans="6:8" x14ac:dyDescent="0.25">
      <c r="F1089">
        <v>1088</v>
      </c>
      <c r="G1089" t="s">
        <v>1051</v>
      </c>
      <c r="H1089">
        <v>31</v>
      </c>
    </row>
    <row r="1090" spans="6:8" x14ac:dyDescent="0.25">
      <c r="F1090">
        <v>1089</v>
      </c>
      <c r="G1090" t="s">
        <v>1052</v>
      </c>
      <c r="H1090">
        <v>31</v>
      </c>
    </row>
    <row r="1091" spans="6:8" x14ac:dyDescent="0.25">
      <c r="F1091">
        <v>1090</v>
      </c>
      <c r="G1091" t="s">
        <v>1053</v>
      </c>
      <c r="H1091">
        <v>31</v>
      </c>
    </row>
    <row r="1092" spans="6:8" x14ac:dyDescent="0.25">
      <c r="F1092">
        <v>1091</v>
      </c>
      <c r="G1092" t="s">
        <v>1054</v>
      </c>
      <c r="H1092">
        <v>31</v>
      </c>
    </row>
    <row r="1093" spans="6:8" x14ac:dyDescent="0.25">
      <c r="F1093">
        <v>1092</v>
      </c>
      <c r="G1093" t="s">
        <v>1055</v>
      </c>
      <c r="H1093">
        <v>31</v>
      </c>
    </row>
    <row r="1094" spans="6:8" x14ac:dyDescent="0.25">
      <c r="F1094">
        <v>1093</v>
      </c>
      <c r="G1094" t="s">
        <v>1056</v>
      </c>
      <c r="H1094">
        <v>31</v>
      </c>
    </row>
    <row r="1095" spans="6:8" x14ac:dyDescent="0.25">
      <c r="F1095">
        <v>1094</v>
      </c>
      <c r="G1095" t="s">
        <v>1057</v>
      </c>
      <c r="H1095">
        <v>31</v>
      </c>
    </row>
    <row r="1096" spans="6:8" x14ac:dyDescent="0.25">
      <c r="F1096">
        <v>1095</v>
      </c>
      <c r="G1096" t="s">
        <v>1058</v>
      </c>
      <c r="H1096">
        <v>32</v>
      </c>
    </row>
    <row r="1097" spans="6:8" x14ac:dyDescent="0.25">
      <c r="F1097">
        <v>1096</v>
      </c>
      <c r="G1097" t="s">
        <v>1059</v>
      </c>
      <c r="H1097">
        <v>32</v>
      </c>
    </row>
    <row r="1098" spans="6:8" x14ac:dyDescent="0.25">
      <c r="F1098">
        <v>1097</v>
      </c>
      <c r="G1098" t="s">
        <v>1060</v>
      </c>
      <c r="H1098">
        <v>32</v>
      </c>
    </row>
    <row r="1099" spans="6:8" x14ac:dyDescent="0.25">
      <c r="F1099">
        <v>1098</v>
      </c>
      <c r="G1099" t="s">
        <v>1061</v>
      </c>
      <c r="H1099">
        <v>32</v>
      </c>
    </row>
    <row r="1100" spans="6:8" x14ac:dyDescent="0.25">
      <c r="F1100">
        <v>1099</v>
      </c>
      <c r="G1100" t="s">
        <v>1062</v>
      </c>
      <c r="H1100">
        <v>32</v>
      </c>
    </row>
    <row r="1101" spans="6:8" x14ac:dyDescent="0.25">
      <c r="F1101">
        <v>1100</v>
      </c>
      <c r="G1101" t="s">
        <v>1063</v>
      </c>
      <c r="H1101">
        <v>33</v>
      </c>
    </row>
    <row r="1102" spans="6:8" x14ac:dyDescent="0.25">
      <c r="F1102">
        <v>1101</v>
      </c>
      <c r="G1102" t="s">
        <v>1064</v>
      </c>
      <c r="H1102">
        <v>33</v>
      </c>
    </row>
    <row r="1103" spans="6:8" x14ac:dyDescent="0.25">
      <c r="F1103">
        <v>1102</v>
      </c>
      <c r="G1103" t="s">
        <v>1065</v>
      </c>
      <c r="H1103">
        <v>33</v>
      </c>
    </row>
    <row r="1104" spans="6:8" x14ac:dyDescent="0.25">
      <c r="F1104">
        <v>1103</v>
      </c>
      <c r="G1104" t="s">
        <v>1066</v>
      </c>
      <c r="H1104">
        <v>33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0064-5FC6-47CF-9FC7-F72E6C2AC468}">
  <dimension ref="A1:AC9"/>
  <sheetViews>
    <sheetView workbookViewId="0"/>
  </sheetViews>
  <sheetFormatPr baseColWidth="10" defaultRowHeight="15" x14ac:dyDescent="0.25"/>
  <cols>
    <col min="1" max="1" width="19" bestFit="1" customWidth="1"/>
    <col min="2" max="2" width="19" customWidth="1"/>
    <col min="3" max="4" width="19" bestFit="1" customWidth="1"/>
    <col min="8" max="8" width="12.28515625" bestFit="1" customWidth="1"/>
    <col min="9" max="9" width="19" bestFit="1" customWidth="1"/>
    <col min="28" max="28" width="33" bestFit="1" customWidth="1"/>
    <col min="29" max="29" width="12" bestFit="1" customWidth="1"/>
  </cols>
  <sheetData>
    <row r="1" spans="1:29" x14ac:dyDescent="0.25">
      <c r="A1" s="23" t="e" cm="1">
        <f t="array" ref="A1">_xlfn.LET(
    _xlpm.matriz,_xlfn.ANCHORARRAY( Auxiliar!$C$1),
    _xlpm.columna_n, MATCH(TablaDatos[ [#This Row],[Tipo de empresa] ], INDEX(_xlpm.matriz, 1, 0), 0),
    _xlpm.rango_col, INDEX(_xlpm.matriz, 0, _xlpm.columna_n),
    INDEX(_xlpm.rango_col, 2) : INDEX(_xlpm.rango_col, COUNTA(_xlpm.rango_col))
)</f>
        <v>#VALUE!</v>
      </c>
      <c r="B1" s="23" t="str" cm="1">
        <f t="array" ref="B1">_xlfn.LET( _xlpm.matriz,_xlfn.ANCHORARRAY( Auxiliar!$C$1), _xlpm.col_n, MATCH("Contratista eléctrico", INDEX(_xlpm.matriz, 1, 0), 0), _xlpm.rango_col, INDEX(_xlpm.matriz, 0, _xlpm.col_n), INDEX(_xlpm.rango_col, 2) : INDEX(_xlpm.rango_col, COUNTA(_xlpm.rango_col)) )</f>
        <v>Prueba Eléctrico</v>
      </c>
      <c r="C1" t="str" cm="1">
        <f t="array" ref="C1:F2">_xlfn.LET(
    _xlpm.tipos, TablaTipoEmpresa[Tipo empresa],
    IFERROR(_xlfn.DROP(_xlfn.REDUCE("", _xlpm.tipos, _xlfn.LAMBDA(_xlpm.matriz,_xlpm.t, _xlfn.HSTACK(_xlpm.matriz, _xlfn.VSTACK(_xlpm.t, _xlfn._xlws.FILTER(TablaEmpresas[Empresa], TablaEmpresas[Tipo de empresa]=_xlpm.t, "" ))))), , 1), "")
)</f>
        <v>Constructora</v>
      </c>
      <c r="D1" t="str">
        <v>Contratista eléctrico</v>
      </c>
      <c r="E1" t="str">
        <v>Industria</v>
      </c>
      <c r="F1" t="str">
        <v>Distribuidora</v>
      </c>
      <c r="G1" s="23"/>
      <c r="H1" s="23" t="str" cm="1">
        <f t="array" ref="H1">_xlfn.LET( _xlpm.matriz,_xlfn.ANCHORARRAY( Auxiliar!$C$1), _xlpm.col_n, MATCH("Contratista eléctrico", INDEX(_xlpm.matriz, 1, 0), 0), _xlpm.rango_col, INDEX(_xlpm.matriz, 0, _xlpm.col_n), INDEX(_xlpm.rango_col, 2) : INDEX(_xlpm.rango_col, COUNTA(_xlpm.rango_col)) )</f>
        <v>Prueba Eléctrico</v>
      </c>
      <c r="Z1" cm="1">
        <f t="array" aca="1" ref="Z1" ca="1">_xlfn.LET(
    _xlpm.m,_xlfn.ANCHORARRAY( Auxiliar!$AA$1),
    _xlpm.sel, INDIRECT("FC[-1]", 0),
    _xlpm.f, IFERROR(MATCH(_xlpm.sel, INDEX(_xlpm.m,,1), 0), 0),
    IF(_xlpm.f=0, Auxiliar!$Z$10,
        _xlfn.LET(
            _xlpm.fila, INDEX(_xlpm.m, _xlpm.f, 0),
            _xlpm.inicio, INDEX(_xlpm.fila, 2),
            _xlpm.fin, INDEX(_xlpm.fila, COUNTA(_xlpm.fila)),
            _xlpm.inicio:_xlpm.fin
        )
    )
)</f>
        <v>0</v>
      </c>
      <c r="AA1" t="str" cm="1">
        <f t="array" ref="AA1:AC3">_xlfn.LET(
    _xlpm.lista_cruda, _xlfn.UNIQUE(TablaContactos[Empresa]),
    _xlpm.empresas, _xlfn._xlws.FILTER(_xlpm.lista_cruda, (_xlpm.lista_cruda&lt;&gt;"")*(_xlpm.lista_cruda&lt;&gt;0), "Sin empresas"),
    IFERROR(_xlfn.DROP(_xlfn.REDUCE("", _xlpm.empresas, _xlfn.LAMBDA(_xlpm.matriz,_xlpm.e,
        _xlfn.VSTACK(_xlpm.matriz, _xlfn.HSTACK(_xlpm.e, TRANSPOSE(_xlfn._xlws.FILTER(TablaContactos[Contacto], TablaContactos[Empresa]=_xlpm.e, "" ))))
    )), 1, ), "")
)</f>
        <v>INDELPA SAS</v>
      </c>
      <c r="AB1" t="str">
        <v>Ing. Jhonier Puerta Ospina</v>
      </c>
      <c r="AC1" t="str">
        <v>Ing. Julian Nieto Cruz</v>
      </c>
    </row>
    <row r="2" spans="1:29" x14ac:dyDescent="0.25">
      <c r="A2" cm="1">
        <f t="array" aca="1" ref="A2" ca="1">_xlfn.LET(
    _xlpm.matriz,_xlfn.ANCHORARRAY( Auxiliar!$C$1),
    _xlpm.tipo, INDIRECT("FC[-1]", FALSE),
    _xlpm.col_n, IFERROR(MATCH(_xlpm.tipo, INDEX(_xlpm.matriz, 1, 0), 0), 0),
    IF(_xlpm.col_n=0, Auxiliar!$XAA$1,
        _xlfn.LET(
            _xlpm.rango_col, INDEX(_xlpm.matriz, 0, _xlpm.col_n),
            INDEX(_xlpm.rango_col, 2) : INDEX(_xlpm.rango_col, COUNTA(_xlpm.rango_col))
        )
    )
)</f>
        <v>0</v>
      </c>
      <c r="C2" t="str">
        <v>Prueba Constructora</v>
      </c>
      <c r="D2" t="str">
        <v>Prueba Eléctrico</v>
      </c>
      <c r="E2" t="str">
        <v>INDELPA SAS</v>
      </c>
      <c r="F2" t="str">
        <v>Prueba Distribuidor</v>
      </c>
      <c r="AA2" t="str">
        <v>Prueba Constructora</v>
      </c>
      <c r="AB2" t="str">
        <v>Contacto constructora</v>
      </c>
      <c r="AC2" t="str">
        <v/>
      </c>
    </row>
    <row r="3" spans="1:29" x14ac:dyDescent="0.25">
      <c r="AA3" t="str">
        <v>Prueba Eléctrico</v>
      </c>
      <c r="AB3" t="str">
        <v>Contacto eléctrico</v>
      </c>
      <c r="AC3" t="str">
        <v/>
      </c>
    </row>
    <row r="9" spans="1:29" x14ac:dyDescent="0.25">
      <c r="G9" s="2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4AF5-D9F5-469C-B1FC-371B7FAA9EA7}">
  <dimension ref="B1:J5"/>
  <sheetViews>
    <sheetView workbookViewId="0">
      <selection activeCell="B5" sqref="B5"/>
    </sheetView>
  </sheetViews>
  <sheetFormatPr baseColWidth="10" defaultRowHeight="15" x14ac:dyDescent="0.25"/>
  <cols>
    <col min="1" max="1" width="2.7109375" customWidth="1"/>
    <col min="2" max="2" width="23.28515625" bestFit="1" customWidth="1"/>
    <col min="3" max="3" width="19" bestFit="1" customWidth="1"/>
    <col min="4" max="4" width="12.7109375" bestFit="1" customWidth="1"/>
    <col min="5" max="5" width="11.85546875" bestFit="1" customWidth="1"/>
    <col min="6" max="6" width="32.85546875" bestFit="1" customWidth="1"/>
    <col min="7" max="7" width="16.140625" bestFit="1" customWidth="1"/>
    <col min="9" max="9" width="45.140625" bestFit="1" customWidth="1"/>
  </cols>
  <sheetData>
    <row r="1" spans="2:10" x14ac:dyDescent="0.25">
      <c r="B1" s="14" t="s">
        <v>1086</v>
      </c>
      <c r="C1" s="24" t="s">
        <v>1089</v>
      </c>
      <c r="D1" s="23" t="s">
        <v>1079</v>
      </c>
      <c r="E1" s="23" t="s">
        <v>1080</v>
      </c>
      <c r="F1" s="23" t="s">
        <v>1084</v>
      </c>
      <c r="G1" s="14" t="s">
        <v>50</v>
      </c>
      <c r="H1" s="14" t="s">
        <v>3</v>
      </c>
      <c r="I1" s="23" t="s">
        <v>4</v>
      </c>
      <c r="J1" s="28" t="s">
        <v>11</v>
      </c>
    </row>
    <row r="2" spans="2:10" x14ac:dyDescent="0.25">
      <c r="B2" s="29" t="s">
        <v>1116</v>
      </c>
      <c r="C2" s="23" t="s">
        <v>1088</v>
      </c>
      <c r="D2" s="26"/>
      <c r="E2" s="33" t="s">
        <v>1118</v>
      </c>
      <c r="F2" s="25" t="s">
        <v>1119</v>
      </c>
      <c r="G2" t="s">
        <v>76</v>
      </c>
      <c r="H2" t="s">
        <v>22</v>
      </c>
      <c r="I2" s="23" t="s">
        <v>1117</v>
      </c>
      <c r="J2" s="42"/>
    </row>
    <row r="3" spans="2:10" x14ac:dyDescent="0.25">
      <c r="B3" s="29" t="s">
        <v>1132</v>
      </c>
      <c r="C3" s="23" t="s">
        <v>2</v>
      </c>
      <c r="D3" s="26"/>
      <c r="E3" s="33" t="s">
        <v>1134</v>
      </c>
      <c r="F3" s="25" t="s">
        <v>1137</v>
      </c>
      <c r="G3" t="s">
        <v>53</v>
      </c>
      <c r="H3" t="s">
        <v>93</v>
      </c>
      <c r="I3" s="23" t="s">
        <v>1095</v>
      </c>
      <c r="J3" s="42"/>
    </row>
    <row r="4" spans="2:10" x14ac:dyDescent="0.25">
      <c r="B4" s="29" t="s">
        <v>1133</v>
      </c>
      <c r="C4" s="23" t="s">
        <v>1091</v>
      </c>
      <c r="D4" s="26" t="s">
        <v>1093</v>
      </c>
      <c r="E4" s="33" t="s">
        <v>1135</v>
      </c>
      <c r="F4" s="25" t="s">
        <v>1138</v>
      </c>
      <c r="G4" t="s">
        <v>80</v>
      </c>
      <c r="H4" t="s">
        <v>982</v>
      </c>
      <c r="I4" s="23" t="s">
        <v>1092</v>
      </c>
      <c r="J4" s="42"/>
    </row>
    <row r="5" spans="2:10" x14ac:dyDescent="0.25">
      <c r="B5" s="29" t="s">
        <v>1140</v>
      </c>
      <c r="C5" s="23" t="s">
        <v>1081</v>
      </c>
      <c r="D5" s="26" t="s">
        <v>1083</v>
      </c>
      <c r="E5" s="33" t="s">
        <v>1136</v>
      </c>
      <c r="F5" s="25" t="s">
        <v>1139</v>
      </c>
      <c r="G5" s="1" t="s">
        <v>51</v>
      </c>
      <c r="H5" s="1" t="s">
        <v>51</v>
      </c>
      <c r="I5" t="s">
        <v>1082</v>
      </c>
      <c r="J5" s="42"/>
    </row>
  </sheetData>
  <conditionalFormatting sqref="B2:B5">
    <cfRule type="duplicateValues" dxfId="0" priority="1"/>
  </conditionalFormatting>
  <dataValidations count="3">
    <dataValidation type="list" allowBlank="1" showInputMessage="1" showErrorMessage="1" sqref="G2:G5" xr:uid="{0E66CC66-A808-4448-999C-F2BE89E355CD}">
      <formula1>ListaDepartamentos</formula1>
    </dataValidation>
    <dataValidation type="list" allowBlank="1" showInputMessage="1" showErrorMessage="1" sqref="C2:C5" xr:uid="{4D3F0A6A-C685-41AB-9817-FD722D2255CC}">
      <formula1>TipoEmpresa</formula1>
    </dataValidation>
    <dataValidation type="list" allowBlank="1" showInputMessage="1" showErrorMessage="1" sqref="H2:H5" xr:uid="{83956E83-1CC1-4A49-99C3-4B00F2AD3A28}">
      <formula1>ListaMunicipiosDependiente</formula1>
    </dataValidation>
  </dataValidations>
  <hyperlinks>
    <hyperlink ref="F2" r:id="rId1" xr:uid="{DB6A8D04-F31C-4B3F-86EA-C016C8E556EE}"/>
    <hyperlink ref="F3" r:id="rId2" xr:uid="{79C7AF0C-357F-42BA-B029-72F92449D326}"/>
    <hyperlink ref="F4:F5" r:id="rId3" display="prueba@constructora.com" xr:uid="{BD5C57A4-0AD9-4D60-AA57-3B90E0CB9948}"/>
    <hyperlink ref="F4" r:id="rId4" xr:uid="{0D6025FA-33EA-4228-B928-B83436FCA953}"/>
    <hyperlink ref="F5" r:id="rId5" xr:uid="{2604A4EC-7F63-45C3-BB63-278C0CA0C1BB}"/>
  </hyperlinks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791D-503E-4D62-AC7B-59BEE927C5C3}">
  <dimension ref="B1:H5"/>
  <sheetViews>
    <sheetView workbookViewId="0">
      <selection activeCell="F2" sqref="F2:F4"/>
    </sheetView>
  </sheetViews>
  <sheetFormatPr baseColWidth="10" defaultRowHeight="15" x14ac:dyDescent="0.25"/>
  <cols>
    <col min="1" max="1" width="3.5703125" customWidth="1"/>
    <col min="2" max="2" width="33" bestFit="1" customWidth="1"/>
    <col min="3" max="3" width="18.7109375" bestFit="1" customWidth="1"/>
    <col min="4" max="4" width="19.7109375" bestFit="1" customWidth="1"/>
    <col min="5" max="5" width="27.5703125" bestFit="1" customWidth="1"/>
    <col min="6" max="6" width="14.85546875" bestFit="1" customWidth="1"/>
    <col min="7" max="7" width="41.5703125" bestFit="1" customWidth="1"/>
    <col min="8" max="8" width="27.42578125" bestFit="1" customWidth="1"/>
  </cols>
  <sheetData>
    <row r="1" spans="2:8" x14ac:dyDescent="0.25">
      <c r="B1" s="14" t="s">
        <v>1085</v>
      </c>
      <c r="C1" s="24" t="s">
        <v>1089</v>
      </c>
      <c r="D1" s="23" t="s">
        <v>1086</v>
      </c>
      <c r="E1" s="23" t="s">
        <v>1090</v>
      </c>
      <c r="F1" s="23" t="s">
        <v>1080</v>
      </c>
      <c r="G1" s="23" t="s">
        <v>1084</v>
      </c>
      <c r="H1" s="23" t="s">
        <v>11</v>
      </c>
    </row>
    <row r="2" spans="2:8" x14ac:dyDescent="0.25">
      <c r="B2" s="29" t="s">
        <v>1120</v>
      </c>
      <c r="C2" s="29" t="s">
        <v>1088</v>
      </c>
      <c r="D2" s="29" t="s">
        <v>1116</v>
      </c>
      <c r="E2" s="29" t="s">
        <v>1121</v>
      </c>
      <c r="F2" s="33" t="s">
        <v>1122</v>
      </c>
      <c r="G2" s="25" t="s">
        <v>1123</v>
      </c>
      <c r="H2" s="32"/>
    </row>
    <row r="3" spans="2:8" x14ac:dyDescent="0.25">
      <c r="B3" s="29" t="s">
        <v>1124</v>
      </c>
      <c r="C3" s="29" t="s">
        <v>1088</v>
      </c>
      <c r="D3" s="29" t="s">
        <v>1116</v>
      </c>
      <c r="E3" s="29" t="s">
        <v>1121</v>
      </c>
      <c r="F3" s="33" t="s">
        <v>1125</v>
      </c>
      <c r="G3" s="25" t="s">
        <v>1126</v>
      </c>
      <c r="H3" s="32"/>
    </row>
    <row r="4" spans="2:8" x14ac:dyDescent="0.25">
      <c r="B4" s="29" t="s">
        <v>1141</v>
      </c>
      <c r="C4" s="23" t="s">
        <v>2</v>
      </c>
      <c r="D4" s="23" t="s">
        <v>1132</v>
      </c>
      <c r="E4" s="29" t="s">
        <v>1100</v>
      </c>
      <c r="F4" s="33" t="s">
        <v>1134</v>
      </c>
      <c r="G4" s="25" t="s">
        <v>1142</v>
      </c>
      <c r="H4" s="27"/>
    </row>
    <row r="5" spans="2:8" x14ac:dyDescent="0.25">
      <c r="B5" s="29" t="s">
        <v>1143</v>
      </c>
      <c r="C5" s="29" t="s">
        <v>1081</v>
      </c>
      <c r="D5" s="29" t="s">
        <v>1140</v>
      </c>
      <c r="E5" s="29" t="s">
        <v>1144</v>
      </c>
      <c r="F5" s="33" t="s">
        <v>1135</v>
      </c>
      <c r="G5" s="25" t="s">
        <v>1145</v>
      </c>
      <c r="H5" s="32" t="s">
        <v>1146</v>
      </c>
    </row>
  </sheetData>
  <dataValidations count="2">
    <dataValidation type="list" allowBlank="1" showInputMessage="1" showErrorMessage="1" sqref="D2:D5" xr:uid="{76CAF277-0D29-4439-B73D-3E2F409294AD}">
      <formula1>ListaEmpresasDependiente</formula1>
    </dataValidation>
    <dataValidation type="list" allowBlank="1" showInputMessage="1" showErrorMessage="1" sqref="C2:C5" xr:uid="{0E6C7EAC-8494-4BAE-AF39-4B2F7C117668}">
      <formula1>TipoEmpresa</formula1>
    </dataValidation>
  </dataValidations>
  <hyperlinks>
    <hyperlink ref="G4" r:id="rId1" xr:uid="{C47D9FC6-5A8C-448F-A904-8138A2DCD23A}"/>
    <hyperlink ref="G2" r:id="rId2" xr:uid="{B722D857-5E5A-4BD4-9296-F0960EA28D7B}"/>
    <hyperlink ref="G3" r:id="rId3" xr:uid="{51848095-AD4C-454D-AAE5-09F76D633670}"/>
    <hyperlink ref="G5" r:id="rId4" xr:uid="{1F362080-BC53-4394-99A4-4BBC97E84491}"/>
  </hyperlinks>
  <pageMargins left="0.7" right="0.7" top="0.75" bottom="0.75" header="0.3" footer="0.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0"/>
  <sheetViews>
    <sheetView workbookViewId="0">
      <selection activeCell="E20" sqref="E20"/>
    </sheetView>
  </sheetViews>
  <sheetFormatPr baseColWidth="10" defaultColWidth="14.42578125" defaultRowHeight="15" customHeight="1" x14ac:dyDescent="0.25"/>
  <cols>
    <col min="1" max="1" width="2.7109375" customWidth="1"/>
    <col min="2" max="2" width="76.7109375" customWidth="1"/>
    <col min="3" max="3" width="11.42578125" bestFit="1" customWidth="1"/>
    <col min="4" max="4" width="8.7109375" bestFit="1" customWidth="1"/>
    <col min="5" max="5" width="37.42578125" customWidth="1"/>
    <col min="6" max="6" width="44.5703125" bestFit="1" customWidth="1"/>
    <col min="7" max="7" width="22.7109375" customWidth="1"/>
    <col min="8" max="8" width="10.7109375" customWidth="1"/>
    <col min="9" max="9" width="12" customWidth="1"/>
    <col min="10" max="10" width="15.85546875" bestFit="1" customWidth="1"/>
    <col min="11" max="11" width="10.7109375" customWidth="1"/>
    <col min="12" max="12" width="19" bestFit="1" customWidth="1"/>
    <col min="13" max="13" width="15.140625" customWidth="1"/>
    <col min="14" max="14" width="19" bestFit="1" customWidth="1"/>
    <col min="15" max="15" width="10.7109375" customWidth="1"/>
    <col min="16" max="16" width="20.28515625" bestFit="1" customWidth="1"/>
    <col min="17" max="17" width="19" bestFit="1" customWidth="1"/>
    <col min="18" max="29" width="10.7109375" customWidth="1"/>
  </cols>
  <sheetData>
    <row r="1" spans="2:18" ht="14.25" customHeight="1" x14ac:dyDescent="0.25">
      <c r="C1" s="29"/>
      <c r="D1" s="29"/>
    </row>
    <row r="2" spans="2:18" ht="14.25" customHeight="1" x14ac:dyDescent="0.25">
      <c r="B2" s="69" t="s">
        <v>5</v>
      </c>
      <c r="C2" s="46" t="s">
        <v>1103</v>
      </c>
      <c r="D2" s="49" t="s">
        <v>10</v>
      </c>
      <c r="E2" s="4" t="s">
        <v>15</v>
      </c>
      <c r="F2" s="4" t="s">
        <v>7</v>
      </c>
      <c r="G2" s="5" t="s">
        <v>16</v>
      </c>
      <c r="I2" s="18" t="s">
        <v>1067</v>
      </c>
      <c r="J2" s="18" t="s">
        <v>1073</v>
      </c>
      <c r="L2" s="23" t="s">
        <v>1087</v>
      </c>
      <c r="M2" s="23"/>
    </row>
    <row r="3" spans="2:18" ht="14.25" customHeight="1" x14ac:dyDescent="0.25">
      <c r="B3" s="68" t="s">
        <v>1099</v>
      </c>
      <c r="C3" s="30" t="s">
        <v>1102</v>
      </c>
      <c r="D3" s="53" t="s">
        <v>1097</v>
      </c>
      <c r="E3" s="6"/>
      <c r="F3" s="6" t="s">
        <v>1086</v>
      </c>
      <c r="G3" s="7" t="s">
        <v>17</v>
      </c>
      <c r="H3" s="30"/>
      <c r="I3" s="19" t="s">
        <v>1068</v>
      </c>
      <c r="J3" s="19" t="s">
        <v>1074</v>
      </c>
      <c r="L3" s="23" t="s">
        <v>2</v>
      </c>
      <c r="M3" s="23"/>
      <c r="R3" t="str" cm="1">
        <f t="array" ref="R3">_xlfn._xlws.FILTER(TablaEmpresas[Empresa],R2=TablaEmpresas[Tipo de empresa],"")</f>
        <v/>
      </c>
    </row>
    <row r="4" spans="2:18" ht="14.25" customHeight="1" x14ac:dyDescent="0.25">
      <c r="B4" s="68" t="s">
        <v>1148</v>
      </c>
      <c r="C4" s="30" t="s">
        <v>1102</v>
      </c>
      <c r="D4" s="53" t="s">
        <v>1097</v>
      </c>
      <c r="E4" s="6"/>
      <c r="F4" s="8" t="s">
        <v>8</v>
      </c>
      <c r="G4" s="9" t="s">
        <v>18</v>
      </c>
      <c r="I4" s="19" t="s">
        <v>1069</v>
      </c>
      <c r="J4" s="19" t="s">
        <v>1075</v>
      </c>
      <c r="L4" s="23" t="s">
        <v>1081</v>
      </c>
      <c r="M4" s="23"/>
    </row>
    <row r="5" spans="2:18" ht="14.25" customHeight="1" x14ac:dyDescent="0.25">
      <c r="B5" s="68" t="s">
        <v>13</v>
      </c>
      <c r="C5" s="47" t="s">
        <v>1104</v>
      </c>
      <c r="D5" s="51" t="s">
        <v>1105</v>
      </c>
      <c r="E5" s="10" t="s">
        <v>19</v>
      </c>
      <c r="F5" s="11"/>
      <c r="G5" s="7"/>
      <c r="I5" s="17" t="s">
        <v>1070</v>
      </c>
      <c r="J5" s="17" t="s">
        <v>1076</v>
      </c>
      <c r="L5" s="23" t="s">
        <v>1088</v>
      </c>
      <c r="M5" s="23"/>
    </row>
    <row r="6" spans="2:18" ht="14.25" customHeight="1" x14ac:dyDescent="0.25">
      <c r="B6" s="68" t="s">
        <v>23</v>
      </c>
      <c r="C6" s="66" t="s">
        <v>1104</v>
      </c>
      <c r="D6" s="52" t="s">
        <v>1105</v>
      </c>
      <c r="E6" s="10" t="s">
        <v>21</v>
      </c>
      <c r="F6" s="11"/>
      <c r="G6" s="7"/>
      <c r="I6" s="17" t="s">
        <v>1071</v>
      </c>
      <c r="J6" s="17" t="s">
        <v>1077</v>
      </c>
      <c r="L6" s="23" t="s">
        <v>1091</v>
      </c>
    </row>
    <row r="7" spans="2:18" ht="14.25" customHeight="1" x14ac:dyDescent="0.25">
      <c r="B7" s="70" t="s">
        <v>1147</v>
      </c>
      <c r="C7" s="67" t="s">
        <v>1101</v>
      </c>
      <c r="D7" s="50" t="s">
        <v>1106</v>
      </c>
      <c r="E7" s="10" t="s">
        <v>1107</v>
      </c>
      <c r="F7" s="11"/>
      <c r="G7" s="7"/>
      <c r="I7" s="17" t="s">
        <v>1072</v>
      </c>
      <c r="J7" s="17" t="s">
        <v>1078</v>
      </c>
    </row>
    <row r="8" spans="2:18" ht="14.25" customHeight="1" x14ac:dyDescent="0.25">
      <c r="B8" s="42"/>
      <c r="C8" s="42"/>
      <c r="D8" s="31"/>
      <c r="E8" s="10"/>
      <c r="F8" s="11"/>
      <c r="G8" s="7"/>
      <c r="I8" s="29" t="s">
        <v>1114</v>
      </c>
      <c r="J8" s="29" t="s">
        <v>1115</v>
      </c>
    </row>
    <row r="9" spans="2:18" ht="14.25" customHeight="1" x14ac:dyDescent="0.25">
      <c r="B9" s="45"/>
      <c r="C9" s="45"/>
      <c r="D9" s="43"/>
      <c r="E9" s="10"/>
      <c r="F9" s="11"/>
      <c r="G9" s="7"/>
    </row>
    <row r="10" spans="2:18" ht="14.25" customHeight="1" x14ac:dyDescent="0.25">
      <c r="B10" s="44"/>
      <c r="C10" s="48"/>
      <c r="D10" s="44"/>
      <c r="E10" s="12"/>
    </row>
    <row r="11" spans="2:18" ht="14.25" customHeight="1" x14ac:dyDescent="0.25"/>
    <row r="12" spans="2:18" ht="14.25" customHeight="1" x14ac:dyDescent="0.25">
      <c r="B12" s="13" t="s">
        <v>25</v>
      </c>
      <c r="C12" s="13"/>
      <c r="D12" s="13"/>
    </row>
    <row r="13" spans="2:18" ht="14.25" customHeight="1" x14ac:dyDescent="0.25">
      <c r="B13" s="11" t="s">
        <v>26</v>
      </c>
      <c r="C13" s="11"/>
      <c r="D13" s="11"/>
      <c r="E13" s="58" t="s">
        <v>1112</v>
      </c>
      <c r="F13" s="58" t="s">
        <v>5</v>
      </c>
      <c r="G13" s="55"/>
    </row>
    <row r="14" spans="2:18" ht="14.25" customHeight="1" x14ac:dyDescent="0.25">
      <c r="B14" s="11" t="s">
        <v>27</v>
      </c>
      <c r="C14" s="11"/>
      <c r="D14" s="11"/>
      <c r="E14" s="54" t="s">
        <v>1102</v>
      </c>
      <c r="F14" s="54" t="s">
        <v>1108</v>
      </c>
    </row>
    <row r="15" spans="2:18" ht="14.25" customHeight="1" x14ac:dyDescent="0.25">
      <c r="B15" s="11" t="s">
        <v>28</v>
      </c>
      <c r="C15" s="11"/>
      <c r="D15" s="11"/>
      <c r="E15" s="56" t="s">
        <v>1097</v>
      </c>
      <c r="F15" s="56" t="s">
        <v>1109</v>
      </c>
    </row>
    <row r="16" spans="2:18" ht="14.25" customHeight="1" x14ac:dyDescent="0.25">
      <c r="B16" s="11" t="s">
        <v>29</v>
      </c>
      <c r="C16" s="11"/>
      <c r="D16" s="11"/>
      <c r="E16" s="57" t="s">
        <v>1104</v>
      </c>
      <c r="F16" s="57" t="s">
        <v>1110</v>
      </c>
    </row>
    <row r="17" spans="2:6" ht="14.25" customHeight="1" x14ac:dyDescent="0.25">
      <c r="B17" s="13" t="s">
        <v>30</v>
      </c>
      <c r="C17" s="13"/>
      <c r="D17" s="13"/>
      <c r="E17" s="60" t="s">
        <v>1098</v>
      </c>
      <c r="F17" s="60" t="s">
        <v>1111</v>
      </c>
    </row>
    <row r="18" spans="2:6" ht="14.25" customHeight="1" x14ac:dyDescent="0.25">
      <c r="B18" s="11" t="s">
        <v>31</v>
      </c>
      <c r="C18" s="11"/>
      <c r="D18" s="11"/>
      <c r="E18" s="59" t="s">
        <v>1101</v>
      </c>
      <c r="F18" s="59" t="s">
        <v>1107</v>
      </c>
    </row>
    <row r="19" spans="2:6" ht="14.25" customHeight="1" x14ac:dyDescent="0.25">
      <c r="B19" s="11" t="s">
        <v>32</v>
      </c>
      <c r="C19" s="11"/>
      <c r="D19" s="11"/>
      <c r="E19" s="61" t="s">
        <v>1149</v>
      </c>
      <c r="F19" s="61" t="s">
        <v>1113</v>
      </c>
    </row>
    <row r="20" spans="2:6" ht="14.25" customHeight="1" x14ac:dyDescent="0.25">
      <c r="B20" s="13" t="s">
        <v>33</v>
      </c>
      <c r="C20" s="13"/>
      <c r="D20" s="13"/>
      <c r="E20" s="64"/>
      <c r="F20" s="64"/>
    </row>
    <row r="21" spans="2:6" ht="14.25" customHeight="1" x14ac:dyDescent="0.25">
      <c r="B21" s="13" t="s">
        <v>34</v>
      </c>
      <c r="C21" s="13"/>
      <c r="D21" s="13"/>
      <c r="E21" s="64"/>
      <c r="F21" s="64"/>
    </row>
    <row r="22" spans="2:6" ht="14.25" customHeight="1" x14ac:dyDescent="0.25"/>
    <row r="23" spans="2:6" ht="14.25" customHeight="1" x14ac:dyDescent="0.25">
      <c r="B23" s="11"/>
      <c r="C23" s="11"/>
      <c r="D23" s="11"/>
      <c r="E23" s="11"/>
      <c r="F23" s="11"/>
    </row>
    <row r="24" spans="2:6" ht="14.25" customHeight="1" x14ac:dyDescent="0.25">
      <c r="B24" s="11"/>
      <c r="C24" s="11"/>
      <c r="D24" s="11"/>
      <c r="E24" s="11"/>
      <c r="F24" s="11"/>
    </row>
    <row r="25" spans="2:6" ht="14.25" customHeight="1" x14ac:dyDescent="0.25"/>
    <row r="26" spans="2:6" ht="14.25" customHeight="1" x14ac:dyDescent="0.25">
      <c r="B26" s="11"/>
      <c r="C26" s="11"/>
      <c r="D26" s="11"/>
      <c r="E26" s="11"/>
      <c r="F26" s="11"/>
    </row>
    <row r="27" spans="2:6" ht="14.25" customHeight="1" x14ac:dyDescent="0.25">
      <c r="B27" s="11"/>
      <c r="C27" s="11"/>
      <c r="D27" s="11"/>
      <c r="E27" s="11"/>
      <c r="F27" s="11"/>
    </row>
    <row r="28" spans="2:6" ht="14.25" customHeight="1" x14ac:dyDescent="0.25">
      <c r="B28" s="11"/>
      <c r="C28" s="11"/>
      <c r="D28" s="11"/>
      <c r="E28" s="11"/>
      <c r="F28" s="11"/>
    </row>
    <row r="29" spans="2:6" ht="14.25" customHeight="1" x14ac:dyDescent="0.25">
      <c r="B29" s="11"/>
      <c r="C29" s="11"/>
      <c r="D29" s="11"/>
      <c r="E29" s="11"/>
      <c r="F29" s="11"/>
    </row>
    <row r="30" spans="2:6" ht="14.25" customHeight="1" x14ac:dyDescent="0.25">
      <c r="B30" s="11"/>
      <c r="C30" s="11"/>
      <c r="D30" s="11"/>
      <c r="E30" s="11"/>
      <c r="F30" s="11"/>
    </row>
    <row r="31" spans="2:6" ht="14.25" customHeight="1" x14ac:dyDescent="0.25"/>
    <row r="32" spans="2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Datos</vt:lpstr>
      <vt:lpstr>Región</vt:lpstr>
      <vt:lpstr>Auxiliar</vt:lpstr>
      <vt:lpstr>Empresa</vt:lpstr>
      <vt:lpstr>Contactos</vt:lpstr>
      <vt:lpstr>Listas</vt:lpstr>
      <vt:lpstr>COMPRA</vt:lpstr>
      <vt:lpstr>COTIZADO</vt:lpstr>
      <vt:lpstr>ESTADO</vt:lpstr>
      <vt:lpstr>ListaDepartamentos</vt:lpstr>
      <vt:lpstr>TipoEmpresa</vt:lpstr>
      <vt:lpstr>Vendedor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Jhonier Puerta Ospina</cp:lastModifiedBy>
  <dcterms:created xsi:type="dcterms:W3CDTF">2006-09-16T00:00:00Z</dcterms:created>
  <dcterms:modified xsi:type="dcterms:W3CDTF">2026-03-30T05:27:32Z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3082-11.2.0.9453</vt:lpwstr>
  </property>
</Properties>
</file>